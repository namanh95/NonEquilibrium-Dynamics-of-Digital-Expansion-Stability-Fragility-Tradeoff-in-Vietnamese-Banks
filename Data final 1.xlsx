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FSB\Consultancy Project_PhD report\Assignment\2 Report 70\Final data file\"/>
    </mc:Choice>
  </mc:AlternateContent>
  <xr:revisionPtr revIDLastSave="0" documentId="13_ncr:1_{F853DB89-478F-49E1-B9CB-16743C2CC639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definedNames>
    <definedName name="_xlnm._FilterDatabase" localSheetId="0" hidden="1">Sheet1!$A$1:$V$406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8" i="1" l="1"/>
  <c r="S54" i="1" l="1"/>
  <c r="N57" i="1"/>
  <c r="V42" i="1"/>
  <c r="P61" i="1"/>
  <c r="Q38" i="1"/>
  <c r="P38" i="1"/>
  <c r="R2" i="1" l="1"/>
  <c r="N2" i="1"/>
  <c r="P3" i="1"/>
  <c r="X3" i="1"/>
  <c r="X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S19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2" i="1"/>
  <c r="V23" i="1"/>
  <c r="V24" i="1"/>
  <c r="V25" i="1"/>
  <c r="V26" i="1"/>
  <c r="V27" i="1"/>
  <c r="V28" i="1"/>
  <c r="V29" i="1"/>
  <c r="V30" i="1"/>
  <c r="V31" i="1"/>
  <c r="V34" i="1"/>
  <c r="V35" i="1"/>
  <c r="V36" i="1"/>
  <c r="V37" i="1"/>
  <c r="V39" i="1"/>
  <c r="V40" i="1"/>
  <c r="V41" i="1"/>
  <c r="V43" i="1"/>
  <c r="V44" i="1"/>
  <c r="V45" i="1"/>
  <c r="V46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3" i="1"/>
  <c r="V65" i="1"/>
  <c r="V67" i="1"/>
  <c r="V68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73" i="1"/>
  <c r="V174" i="1"/>
  <c r="V175" i="1"/>
  <c r="V176" i="1"/>
  <c r="V177" i="1"/>
  <c r="V178" i="1"/>
  <c r="V179" i="1"/>
  <c r="V180" i="1"/>
  <c r="V181" i="1"/>
  <c r="V183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201" i="1"/>
  <c r="V202" i="1"/>
  <c r="V203" i="1"/>
  <c r="V204" i="1"/>
  <c r="V206" i="1"/>
  <c r="V207" i="1"/>
  <c r="V208" i="1"/>
  <c r="V209" i="1"/>
  <c r="V210" i="1"/>
  <c r="V211" i="1"/>
  <c r="V218" i="1"/>
  <c r="V219" i="1"/>
  <c r="V220" i="1"/>
  <c r="V221" i="1"/>
  <c r="V222" i="1"/>
  <c r="V223" i="1"/>
  <c r="V224" i="1"/>
  <c r="V225" i="1"/>
  <c r="V227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5" i="1"/>
  <c r="V277" i="1"/>
  <c r="V278" i="1"/>
  <c r="V279" i="1"/>
  <c r="V280" i="1"/>
  <c r="V281" i="1"/>
  <c r="V282" i="1"/>
  <c r="V283" i="1"/>
  <c r="V284" i="1"/>
  <c r="V285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9" i="1"/>
  <c r="V322" i="1"/>
  <c r="V323" i="1"/>
  <c r="V324" i="1"/>
  <c r="V325" i="1"/>
  <c r="V326" i="1"/>
  <c r="V327" i="1"/>
  <c r="V328" i="1"/>
  <c r="V329" i="1"/>
  <c r="V330" i="1"/>
  <c r="V331" i="1"/>
  <c r="V337" i="1"/>
  <c r="V338" i="1"/>
  <c r="V339" i="1"/>
  <c r="V342" i="1"/>
  <c r="V343" i="1"/>
  <c r="V344" i="1"/>
  <c r="V345" i="1"/>
  <c r="V346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81" i="1"/>
  <c r="V382" i="1"/>
  <c r="V383" i="1"/>
  <c r="V384" i="1"/>
  <c r="V387" i="1"/>
  <c r="V388" i="1"/>
  <c r="V389" i="1"/>
  <c r="V390" i="1"/>
  <c r="V391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S34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0" i="1"/>
  <c r="S21" i="1"/>
  <c r="S22" i="1"/>
  <c r="S23" i="1"/>
  <c r="S24" i="1"/>
  <c r="S25" i="1"/>
  <c r="S26" i="1"/>
  <c r="S27" i="1"/>
  <c r="S28" i="1"/>
  <c r="S29" i="1"/>
  <c r="S30" i="1"/>
  <c r="S31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8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3" i="1"/>
  <c r="P34" i="1"/>
  <c r="P35" i="1"/>
  <c r="P36" i="1"/>
  <c r="P37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8" i="1"/>
  <c r="P349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2" i="1"/>
  <c r="Q302" i="1"/>
  <c r="Q3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8" i="1"/>
  <c r="R349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4" i="1"/>
  <c r="Q35" i="1"/>
  <c r="Q36" i="1"/>
  <c r="Q37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8" i="1"/>
  <c r="Q349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2" i="1"/>
  <c r="N392" i="1" l="1"/>
  <c r="N380" i="1"/>
  <c r="N356" i="1"/>
  <c r="N86" i="1"/>
  <c r="N405" i="1"/>
  <c r="N393" i="1"/>
  <c r="N369" i="1"/>
  <c r="N357" i="1"/>
  <c r="N342" i="1"/>
  <c r="N330" i="1"/>
  <c r="N318" i="1"/>
  <c r="N293" i="1"/>
  <c r="N280" i="1"/>
  <c r="N256" i="1"/>
  <c r="N244" i="1"/>
  <c r="N195" i="1"/>
  <c r="N183" i="1"/>
  <c r="N75" i="1"/>
  <c r="N63" i="1"/>
  <c r="N404" i="1"/>
  <c r="N329" i="1"/>
  <c r="N403" i="1"/>
  <c r="N402" i="1"/>
  <c r="N265" i="1"/>
  <c r="N69" i="1"/>
  <c r="N317" i="1"/>
  <c r="N25" i="1"/>
  <c r="N279" i="1"/>
  <c r="N170" i="1"/>
  <c r="N24" i="1"/>
  <c r="N391" i="1"/>
  <c r="N328" i="1"/>
  <c r="N303" i="1"/>
  <c r="N168" i="1"/>
  <c r="N389" i="1"/>
  <c r="N364" i="1"/>
  <c r="N275" i="1"/>
  <c r="N387" i="1"/>
  <c r="N299" i="1"/>
  <c r="N201" i="1"/>
  <c r="N81" i="1"/>
  <c r="N359" i="1"/>
  <c r="N332" i="1"/>
  <c r="N306" i="1"/>
  <c r="N295" i="1"/>
  <c r="N270" i="1"/>
  <c r="N246" i="1"/>
  <c r="N221" i="1"/>
  <c r="N197" i="1"/>
  <c r="N185" i="1"/>
  <c r="N161" i="1"/>
  <c r="N144" i="1"/>
  <c r="N113" i="1"/>
  <c r="N89" i="1"/>
  <c r="N65" i="1"/>
  <c r="N41" i="1"/>
  <c r="N15" i="1"/>
  <c r="N406" i="1"/>
  <c r="N394" i="1"/>
  <c r="N370" i="1"/>
  <c r="N358" i="1"/>
  <c r="N343" i="1"/>
  <c r="N331" i="1"/>
  <c r="N319" i="1"/>
  <c r="N294" i="1"/>
  <c r="N281" i="1"/>
  <c r="N269" i="1"/>
  <c r="N257" i="1"/>
  <c r="N245" i="1"/>
  <c r="N233" i="1"/>
  <c r="N220" i="1"/>
  <c r="N196" i="1"/>
  <c r="N184" i="1"/>
  <c r="N160" i="1"/>
  <c r="N148" i="1"/>
  <c r="N136" i="1"/>
  <c r="N124" i="1"/>
  <c r="N112" i="1"/>
  <c r="N100" i="1"/>
  <c r="N76" i="1"/>
  <c r="N64" i="1"/>
  <c r="N40" i="1"/>
  <c r="N26" i="1"/>
  <c r="N14" i="1"/>
  <c r="N39" i="1"/>
  <c r="N305" i="1"/>
  <c r="N340" i="1"/>
  <c r="N217" i="1"/>
  <c r="N85" i="1"/>
  <c r="N253" i="1"/>
  <c r="N156" i="1"/>
  <c r="N120" i="1"/>
  <c r="N108" i="1"/>
  <c r="N96" i="1"/>
  <c r="N84" i="1"/>
  <c r="N72" i="1"/>
  <c r="N60" i="1"/>
  <c r="N48" i="1"/>
  <c r="N36" i="1"/>
  <c r="N22" i="1"/>
  <c r="N219" i="1"/>
  <c r="N123" i="1"/>
  <c r="N292" i="1"/>
  <c r="N158" i="1"/>
  <c r="N98" i="1"/>
  <c r="N379" i="1"/>
  <c r="N304" i="1"/>
  <c r="N181" i="1"/>
  <c r="N61" i="1"/>
  <c r="N339" i="1"/>
  <c r="N204" i="1"/>
  <c r="N377" i="1"/>
  <c r="N228" i="1"/>
  <c r="N215" i="1"/>
  <c r="N203" i="1"/>
  <c r="N179" i="1"/>
  <c r="N167" i="1"/>
  <c r="N143" i="1"/>
  <c r="N119" i="1"/>
  <c r="N107" i="1"/>
  <c r="N95" i="1"/>
  <c r="N83" i="1"/>
  <c r="N59" i="1"/>
  <c r="N47" i="1"/>
  <c r="N35" i="1"/>
  <c r="N21" i="1"/>
  <c r="N302" i="1"/>
  <c r="N135" i="1"/>
  <c r="N13" i="1"/>
  <c r="N218" i="1"/>
  <c r="N134" i="1"/>
  <c r="N38" i="1"/>
  <c r="N316" i="1"/>
  <c r="N205" i="1"/>
  <c r="N97" i="1"/>
  <c r="N327" i="1"/>
  <c r="N241" i="1"/>
  <c r="N401" i="1"/>
  <c r="N276" i="1"/>
  <c r="N376" i="1"/>
  <c r="N300" i="1"/>
  <c r="N251" i="1"/>
  <c r="N202" i="1"/>
  <c r="N178" i="1"/>
  <c r="N142" i="1"/>
  <c r="N118" i="1"/>
  <c r="N82" i="1"/>
  <c r="N58" i="1"/>
  <c r="N20" i="1"/>
  <c r="N8" i="1"/>
  <c r="N147" i="1"/>
  <c r="N255" i="1"/>
  <c r="N194" i="1"/>
  <c r="N74" i="1"/>
  <c r="N355" i="1"/>
  <c r="N278" i="1"/>
  <c r="N193" i="1"/>
  <c r="N121" i="1"/>
  <c r="N73" i="1"/>
  <c r="N37" i="1"/>
  <c r="N390" i="1"/>
  <c r="N315" i="1"/>
  <c r="N216" i="1"/>
  <c r="N314" i="1"/>
  <c r="N240" i="1"/>
  <c r="N325" i="1"/>
  <c r="N263" i="1"/>
  <c r="N375" i="1"/>
  <c r="N312" i="1"/>
  <c r="N238" i="1"/>
  <c r="N177" i="1"/>
  <c r="N141" i="1"/>
  <c r="N117" i="1"/>
  <c r="N19" i="1"/>
  <c r="N398" i="1"/>
  <c r="N386" i="1"/>
  <c r="N374" i="1"/>
  <c r="N365" i="1"/>
  <c r="N335" i="1"/>
  <c r="N323" i="1"/>
  <c r="N311" i="1"/>
  <c r="N298" i="1"/>
  <c r="N285" i="1"/>
  <c r="N273" i="1"/>
  <c r="N261" i="1"/>
  <c r="N237" i="1"/>
  <c r="N224" i="1"/>
  <c r="N212" i="1"/>
  <c r="N200" i="1"/>
  <c r="N188" i="1"/>
  <c r="N176" i="1"/>
  <c r="N164" i="1"/>
  <c r="N155" i="1"/>
  <c r="N140" i="1"/>
  <c r="N128" i="1"/>
  <c r="N116" i="1"/>
  <c r="N80" i="1"/>
  <c r="N56" i="1"/>
  <c r="N30" i="1"/>
  <c r="N18" i="1"/>
  <c r="N6" i="1"/>
  <c r="N349" i="1"/>
  <c r="N159" i="1"/>
  <c r="N99" i="1"/>
  <c r="N341" i="1"/>
  <c r="N182" i="1"/>
  <c r="N242" i="1"/>
  <c r="N133" i="1"/>
  <c r="N192" i="1"/>
  <c r="N338" i="1"/>
  <c r="N264" i="1"/>
  <c r="N352" i="1"/>
  <c r="N289" i="1"/>
  <c r="N214" i="1"/>
  <c r="N336" i="1"/>
  <c r="N31" i="1"/>
  <c r="N385" i="1"/>
  <c r="N361" i="1"/>
  <c r="N334" i="1"/>
  <c r="N322" i="1"/>
  <c r="N297" i="1"/>
  <c r="N272" i="1"/>
  <c r="N248" i="1"/>
  <c r="N223" i="1"/>
  <c r="N199" i="1"/>
  <c r="N175" i="1"/>
  <c r="N151" i="1"/>
  <c r="N127" i="1"/>
  <c r="N103" i="1"/>
  <c r="N67" i="1"/>
  <c r="N43" i="1"/>
  <c r="N5" i="1"/>
  <c r="N250" i="1"/>
  <c r="N189" i="1"/>
  <c r="N165" i="1"/>
  <c r="N153" i="1"/>
  <c r="N45" i="1"/>
  <c r="N33" i="1"/>
  <c r="N206" i="1"/>
  <c r="N62" i="1"/>
  <c r="N169" i="1"/>
  <c r="N23" i="1"/>
  <c r="N354" i="1"/>
  <c r="N229" i="1"/>
  <c r="N326" i="1"/>
  <c r="N388" i="1"/>
  <c r="N313" i="1"/>
  <c r="N232" i="1"/>
  <c r="N262" i="1"/>
  <c r="N373" i="1"/>
  <c r="N346" i="1"/>
  <c r="N310" i="1"/>
  <c r="N284" i="1"/>
  <c r="N260" i="1"/>
  <c r="N236" i="1"/>
  <c r="N211" i="1"/>
  <c r="N187" i="1"/>
  <c r="N163" i="1"/>
  <c r="N139" i="1"/>
  <c r="N115" i="1"/>
  <c r="N91" i="1"/>
  <c r="N79" i="1"/>
  <c r="N55" i="1"/>
  <c r="N29" i="1"/>
  <c r="N17" i="1"/>
  <c r="N400" i="1"/>
  <c r="N382" i="1"/>
  <c r="N372" i="1"/>
  <c r="N348" i="1"/>
  <c r="N345" i="1"/>
  <c r="N333" i="1"/>
  <c r="N324" i="1"/>
  <c r="N307" i="1"/>
  <c r="N296" i="1"/>
  <c r="N283" i="1"/>
  <c r="N271" i="1"/>
  <c r="N259" i="1"/>
  <c r="N247" i="1"/>
  <c r="N235" i="1"/>
  <c r="N222" i="1"/>
  <c r="N210" i="1"/>
  <c r="N208" i="1"/>
  <c r="N190" i="1"/>
  <c r="N174" i="1"/>
  <c r="N166" i="1"/>
  <c r="N150" i="1"/>
  <c r="N138" i="1"/>
  <c r="N126" i="1"/>
  <c r="N114" i="1"/>
  <c r="N105" i="1"/>
  <c r="N90" i="1"/>
  <c r="N88" i="1"/>
  <c r="N66" i="1"/>
  <c r="N54" i="1"/>
  <c r="N34" i="1"/>
  <c r="N28" i="1"/>
  <c r="N16" i="1"/>
  <c r="N4" i="1"/>
  <c r="N249" i="1"/>
  <c r="N104" i="1"/>
  <c r="N92" i="1"/>
  <c r="N68" i="1"/>
  <c r="N44" i="1"/>
  <c r="N368" i="1"/>
  <c r="N243" i="1"/>
  <c r="N122" i="1"/>
  <c r="N254" i="1"/>
  <c r="N157" i="1"/>
  <c r="N49" i="1"/>
  <c r="N378" i="1"/>
  <c r="N277" i="1"/>
  <c r="N180" i="1"/>
  <c r="N353" i="1"/>
  <c r="N252" i="1"/>
  <c r="N337" i="1"/>
  <c r="N239" i="1"/>
  <c r="N363" i="1"/>
  <c r="N274" i="1"/>
  <c r="N129" i="1"/>
  <c r="N7" i="1"/>
  <c r="N397" i="1"/>
  <c r="N395" i="1"/>
  <c r="N381" i="1"/>
  <c r="N371" i="1"/>
  <c r="N344" i="1"/>
  <c r="N320" i="1"/>
  <c r="N282" i="1"/>
  <c r="N258" i="1"/>
  <c r="N234" i="1"/>
  <c r="N209" i="1"/>
  <c r="N171" i="1"/>
  <c r="N149" i="1"/>
  <c r="N125" i="1"/>
  <c r="N101" i="1"/>
  <c r="N77" i="1"/>
  <c r="N50" i="1"/>
  <c r="N27" i="1"/>
  <c r="N3" i="1"/>
  <c r="N51" i="1"/>
  <c r="N172" i="1"/>
  <c r="N366" i="1"/>
  <c r="N12" i="1"/>
  <c r="N53" i="1"/>
  <c r="N71" i="1"/>
  <c r="N78" i="1"/>
  <c r="N137" i="1"/>
  <c r="N198" i="1"/>
  <c r="N309" i="1"/>
  <c r="N384" i="1"/>
  <c r="N11" i="1"/>
  <c r="N52" i="1"/>
  <c r="N70" i="1"/>
  <c r="N106" i="1"/>
  <c r="N94" i="1"/>
  <c r="N111" i="1"/>
  <c r="N146" i="1"/>
  <c r="N132" i="1"/>
  <c r="N152" i="1"/>
  <c r="N173" i="1"/>
  <c r="N191" i="1"/>
  <c r="N268" i="1"/>
  <c r="N291" i="1"/>
  <c r="N308" i="1"/>
  <c r="N367" i="1"/>
  <c r="N383" i="1"/>
  <c r="N110" i="1"/>
  <c r="N213" i="1"/>
  <c r="N267" i="1"/>
  <c r="N290" i="1"/>
  <c r="N130" i="1"/>
  <c r="N227" i="1"/>
  <c r="N145" i="1"/>
  <c r="N231" i="1"/>
  <c r="N109" i="1"/>
  <c r="N399" i="1"/>
  <c r="N42" i="1"/>
  <c r="N288" i="1"/>
  <c r="N360" i="1"/>
  <c r="N93" i="1"/>
  <c r="N225" i="1"/>
  <c r="N287" i="1"/>
  <c r="N46" i="1"/>
  <c r="N266" i="1"/>
  <c r="N362" i="1"/>
  <c r="N102" i="1"/>
  <c r="N321" i="1"/>
  <c r="N10" i="1"/>
  <c r="N131" i="1"/>
  <c r="N301" i="1"/>
  <c r="N162" i="1"/>
  <c r="N186" i="1"/>
  <c r="N396" i="1"/>
  <c r="N154" i="1"/>
  <c r="N9" i="1"/>
  <c r="N87" i="1"/>
  <c r="N230" i="1"/>
  <c r="N207" i="1"/>
</calcChain>
</file>

<file path=xl/sharedStrings.xml><?xml version="1.0" encoding="utf-8"?>
<sst xmlns="http://schemas.openxmlformats.org/spreadsheetml/2006/main" count="429" uniqueCount="51">
  <si>
    <t>code</t>
  </si>
  <si>
    <t>id</t>
  </si>
  <si>
    <t>year</t>
  </si>
  <si>
    <t>ABB</t>
  </si>
  <si>
    <t>ACB</t>
  </si>
  <si>
    <t>BAB</t>
  </si>
  <si>
    <t>BID</t>
  </si>
  <si>
    <t>BVB</t>
  </si>
  <si>
    <t>CTG</t>
  </si>
  <si>
    <t>EIB</t>
  </si>
  <si>
    <t>HDB</t>
  </si>
  <si>
    <t>KLB</t>
  </si>
  <si>
    <t>LPB</t>
  </si>
  <si>
    <t>MBB</t>
  </si>
  <si>
    <t>MSB</t>
  </si>
  <si>
    <t>NAB</t>
  </si>
  <si>
    <t>NVB</t>
  </si>
  <si>
    <t>OCB</t>
  </si>
  <si>
    <t>PGB</t>
  </si>
  <si>
    <t>SGB</t>
  </si>
  <si>
    <t>SHB</t>
  </si>
  <si>
    <t>SSB</t>
  </si>
  <si>
    <t>STB</t>
  </si>
  <si>
    <t>TCB</t>
  </si>
  <si>
    <t>TPB</t>
  </si>
  <si>
    <t>VAB</t>
  </si>
  <si>
    <t>VBB</t>
  </si>
  <si>
    <t>VCB</t>
  </si>
  <si>
    <t>VIB</t>
  </si>
  <si>
    <t>VPB</t>
  </si>
  <si>
    <t>Tổng tài sản</t>
  </si>
  <si>
    <t>Vốn chủ sở hữu</t>
  </si>
  <si>
    <t>Lợi nhuận sau thuế</t>
  </si>
  <si>
    <t>GDP</t>
  </si>
  <si>
    <t>INF</t>
  </si>
  <si>
    <t>Nợ xấu</t>
  </si>
  <si>
    <t>ZSCORE</t>
  </si>
  <si>
    <t>ROA</t>
  </si>
  <si>
    <t>CAP</t>
  </si>
  <si>
    <t>SIZE</t>
  </si>
  <si>
    <t>DIV</t>
  </si>
  <si>
    <t>Thu nhập ngoài lãi</t>
  </si>
  <si>
    <t>Tổng thu nhập</t>
  </si>
  <si>
    <t>NPL</t>
  </si>
  <si>
    <t>Tổng cho vay khách hàng</t>
  </si>
  <si>
    <t>ICT</t>
  </si>
  <si>
    <t>bank_branches</t>
  </si>
  <si>
    <t>bank_ accounts</t>
  </si>
  <si>
    <t>atms</t>
  </si>
  <si>
    <t>total_digi_words</t>
  </si>
  <si>
    <t>DT_text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</si>
</sst>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6"/>
  <sheetViews>
    <sheetView tabSelected="1" workbookViewId="0">
      <pane xSplit="3" ySplit="1" topLeftCell="V71" activePane="bottomRight" state="frozen"/>
      <selection pane="topRight" activeCell="D1" sqref="D1"/>
      <selection pane="bottomLeft" activeCell="A2" sqref="A2"/>
      <selection pane="bottomRight" activeCell="Y43" sqref="Y43"/>
    </sheetView>
  </sheetViews>
  <sheetFormatPr defaultRowHeight="14.25" x14ac:dyDescent="0.45"/>
  <cols>
    <col min="4" max="4" width="12.46484375" bestFit="1" customWidth="1"/>
    <col min="5" max="5" width="10.53125" customWidth="1"/>
    <col min="10" max="10" width="9.06640625" customWidth="1"/>
    <col min="14" max="21" width="9.1328125" style="2"/>
    <col min="22" max="22" width="11.73046875" style="3" bestFit="1" customWidth="1"/>
    <col min="23" max="23" width="14.33203125" customWidth="1"/>
    <col min="24" max="24" width="11.73046875" bestFit="1" customWidth="1"/>
  </cols>
  <sheetData>
    <row r="1" spans="1:24" x14ac:dyDescent="0.45">
      <c r="A1" t="s">
        <v>0</v>
      </c>
      <c r="B1" t="s">
        <v>1</v>
      </c>
      <c r="C1" s="1" t="s">
        <v>2</v>
      </c>
      <c r="D1" t="s">
        <v>30</v>
      </c>
      <c r="E1" t="s">
        <v>31</v>
      </c>
      <c r="F1" t="s">
        <v>32</v>
      </c>
      <c r="G1" t="s">
        <v>41</v>
      </c>
      <c r="H1" t="s">
        <v>42</v>
      </c>
      <c r="I1" t="s">
        <v>35</v>
      </c>
      <c r="J1" t="s">
        <v>44</v>
      </c>
      <c r="K1" t="s">
        <v>46</v>
      </c>
      <c r="L1" t="s">
        <v>47</v>
      </c>
      <c r="M1" t="s">
        <v>48</v>
      </c>
      <c r="N1" s="2" t="s">
        <v>36</v>
      </c>
      <c r="O1" s="2" t="s">
        <v>45</v>
      </c>
      <c r="P1" s="2" t="s">
        <v>39</v>
      </c>
      <c r="Q1" s="2" t="s">
        <v>37</v>
      </c>
      <c r="R1" s="2" t="s">
        <v>38</v>
      </c>
      <c r="S1" s="2" t="s">
        <v>40</v>
      </c>
      <c r="T1" s="2" t="s">
        <v>33</v>
      </c>
      <c r="U1" s="2" t="s">
        <v>34</v>
      </c>
      <c r="V1" s="3" t="s">
        <v>43</v>
      </c>
      <c r="W1" t="s">
        <v>49</v>
      </c>
      <c r="X1" t="s">
        <v>50</v>
      </c>
    </row>
    <row r="2" spans="1:24" x14ac:dyDescent="0.45">
      <c r="A2" t="s">
        <v>3</v>
      </c>
      <c r="B2">
        <v>1</v>
      </c>
      <c r="C2">
        <v>2010</v>
      </c>
      <c r="D2">
        <v>38015689</v>
      </c>
      <c r="E2">
        <v>4652209</v>
      </c>
      <c r="F2">
        <v>496149</v>
      </c>
      <c r="G2">
        <v>135349</v>
      </c>
      <c r="H2">
        <v>1343907</v>
      </c>
      <c r="J2">
        <v>19876899</v>
      </c>
      <c r="K2">
        <v>3.2718982631890698</v>
      </c>
      <c r="L2">
        <v>9.7075901186610398</v>
      </c>
      <c r="M2">
        <v>17.334389639963199</v>
      </c>
      <c r="N2" s="2">
        <f t="shared" ref="N2:N16" si="0">LN((Q2+R2)/(_xlfn.STDEV.S($Q$2:$Q$16)))</f>
        <v>3.517147988482431</v>
      </c>
      <c r="P2" s="2">
        <f t="shared" ref="P2:P31" si="1">LN(D2)</f>
        <v>17.453509500905</v>
      </c>
      <c r="Q2" s="2">
        <f t="shared" ref="Q2:Q31" si="2">F2/D2</f>
        <v>1.3051164218015356E-2</v>
      </c>
      <c r="R2" s="2">
        <f>E2/D2</f>
        <v>0.12237602743435744</v>
      </c>
      <c r="S2" s="2">
        <f t="shared" ref="S2:S31" si="3">G2/H2</f>
        <v>0.10071307017524278</v>
      </c>
      <c r="T2" s="2">
        <v>6.4232448223948205E-2</v>
      </c>
      <c r="U2" s="2">
        <v>9.20746648778413E-2</v>
      </c>
      <c r="W2">
        <v>11</v>
      </c>
      <c r="X2">
        <f>LN(W2)</f>
        <v>2.3978952727983707</v>
      </c>
    </row>
    <row r="3" spans="1:24" x14ac:dyDescent="0.45">
      <c r="A3" t="s">
        <v>3</v>
      </c>
      <c r="B3">
        <v>1</v>
      </c>
      <c r="C3">
        <v>2011</v>
      </c>
      <c r="D3">
        <v>41541959</v>
      </c>
      <c r="E3">
        <v>4723090</v>
      </c>
      <c r="F3">
        <v>307046</v>
      </c>
      <c r="G3">
        <v>0</v>
      </c>
      <c r="H3">
        <v>1837676</v>
      </c>
      <c r="J3">
        <v>19915501</v>
      </c>
      <c r="K3">
        <v>3.59352181546691</v>
      </c>
      <c r="L3">
        <v>10.9472107468528</v>
      </c>
      <c r="M3">
        <v>19.912794817213701</v>
      </c>
      <c r="N3" s="2">
        <f t="shared" si="0"/>
        <v>3.405212147356663</v>
      </c>
      <c r="O3" s="2">
        <v>0.56579999999999997</v>
      </c>
      <c r="P3" s="2">
        <f>LN(D3)</f>
        <v>17.54221453466474</v>
      </c>
      <c r="Q3" s="2">
        <f t="shared" si="2"/>
        <v>7.3912258206215069E-3</v>
      </c>
      <c r="R3" s="2">
        <f t="shared" ref="R2:R31" si="4">E3/D3</f>
        <v>0.11369444565673949</v>
      </c>
      <c r="S3" s="2">
        <f t="shared" si="3"/>
        <v>0</v>
      </c>
      <c r="T3" s="2">
        <v>6.4131688968168274E-2</v>
      </c>
      <c r="U3" s="2">
        <v>0.18677732277070699</v>
      </c>
      <c r="W3">
        <v>6</v>
      </c>
      <c r="X3">
        <f>LN(W3)</f>
        <v>1.791759469228055</v>
      </c>
    </row>
    <row r="4" spans="1:24" x14ac:dyDescent="0.45">
      <c r="A4" t="s">
        <v>3</v>
      </c>
      <c r="B4">
        <v>1</v>
      </c>
      <c r="C4">
        <v>2012</v>
      </c>
      <c r="D4">
        <v>46013686</v>
      </c>
      <c r="E4">
        <v>4900245</v>
      </c>
      <c r="F4">
        <v>399290</v>
      </c>
      <c r="G4">
        <v>83880</v>
      </c>
      <c r="H4">
        <v>1801206</v>
      </c>
      <c r="J4">
        <v>18755777</v>
      </c>
      <c r="K4">
        <v>3.1504539182237998</v>
      </c>
      <c r="L4">
        <v>12.0614890394782</v>
      </c>
      <c r="M4">
        <v>20.9770541106558</v>
      </c>
      <c r="N4" s="2">
        <f t="shared" si="0"/>
        <v>3.3551493094202312</v>
      </c>
      <c r="O4" s="2">
        <v>0.50839999999999996</v>
      </c>
      <c r="P4" s="2">
        <f t="shared" si="1"/>
        <v>17.644449431941684</v>
      </c>
      <c r="Q4" s="2">
        <f t="shared" si="2"/>
        <v>8.6776356060672914E-3</v>
      </c>
      <c r="R4" s="2">
        <f t="shared" si="4"/>
        <v>0.10649538052656768</v>
      </c>
      <c r="S4" s="2">
        <f t="shared" si="3"/>
        <v>4.6568798904733831E-2</v>
      </c>
      <c r="T4" s="2">
        <v>5.5045447041188994E-2</v>
      </c>
      <c r="U4" s="2">
        <v>9.0947033955719195E-2</v>
      </c>
      <c r="W4">
        <v>2</v>
      </c>
      <c r="X4">
        <f t="shared" ref="X4:X66" si="5">LN(W4)</f>
        <v>0.69314718055994529</v>
      </c>
    </row>
    <row r="5" spans="1:24" x14ac:dyDescent="0.45">
      <c r="A5" t="s">
        <v>3</v>
      </c>
      <c r="B5">
        <v>1</v>
      </c>
      <c r="C5">
        <v>2013</v>
      </c>
      <c r="D5">
        <v>57627710</v>
      </c>
      <c r="E5">
        <v>5744476</v>
      </c>
      <c r="F5">
        <v>140562</v>
      </c>
      <c r="G5">
        <v>337537</v>
      </c>
      <c r="H5">
        <v>1595436</v>
      </c>
      <c r="I5">
        <v>1594373</v>
      </c>
      <c r="J5">
        <v>23646752</v>
      </c>
      <c r="K5">
        <v>3.6926464082046402</v>
      </c>
      <c r="L5">
        <v>12.840142796842899</v>
      </c>
      <c r="M5">
        <v>22.1573299611807</v>
      </c>
      <c r="N5" s="2">
        <f t="shared" si="0"/>
        <v>3.234878771912749</v>
      </c>
      <c r="O5" s="2">
        <v>0.52390000000000003</v>
      </c>
      <c r="P5" s="2">
        <f t="shared" si="1"/>
        <v>17.869514086374863</v>
      </c>
      <c r="Q5" s="2">
        <f t="shared" si="2"/>
        <v>2.4391390877756551E-3</v>
      </c>
      <c r="R5" s="2">
        <f t="shared" si="4"/>
        <v>9.9682531198966612E-2</v>
      </c>
      <c r="S5" s="2">
        <f t="shared" si="3"/>
        <v>0.21156411162842007</v>
      </c>
      <c r="T5" s="2">
        <v>5.5535108102607179E-2</v>
      </c>
      <c r="U5" s="2">
        <v>6.5926747589919191E-2</v>
      </c>
      <c r="V5" s="3">
        <f t="shared" ref="V5:V20" si="6">I5/J5</f>
        <v>6.7424608673529451E-2</v>
      </c>
      <c r="W5">
        <v>8</v>
      </c>
      <c r="X5">
        <f t="shared" si="5"/>
        <v>2.0794415416798357</v>
      </c>
    </row>
    <row r="6" spans="1:24" x14ac:dyDescent="0.45">
      <c r="A6" t="s">
        <v>3</v>
      </c>
      <c r="B6">
        <v>1</v>
      </c>
      <c r="C6">
        <v>2014</v>
      </c>
      <c r="D6">
        <v>67464850</v>
      </c>
      <c r="E6">
        <v>5715376</v>
      </c>
      <c r="F6">
        <v>116973</v>
      </c>
      <c r="G6">
        <v>200660</v>
      </c>
      <c r="H6">
        <v>1687133</v>
      </c>
      <c r="I6">
        <v>1170675</v>
      </c>
      <c r="J6">
        <v>25969150</v>
      </c>
      <c r="K6">
        <v>3.8792484082456702</v>
      </c>
      <c r="L6">
        <v>14.6258764318214</v>
      </c>
      <c r="M6">
        <v>22.979955992336901</v>
      </c>
      <c r="N6" s="2">
        <f t="shared" si="0"/>
        <v>3.0682822161979786</v>
      </c>
      <c r="O6" s="2">
        <v>0.59760000000000002</v>
      </c>
      <c r="P6" s="2">
        <f t="shared" si="1"/>
        <v>18.027117279469469</v>
      </c>
      <c r="Q6" s="2">
        <f t="shared" si="2"/>
        <v>1.733836212486947E-3</v>
      </c>
      <c r="R6" s="2">
        <f t="shared" si="4"/>
        <v>8.4716352293082997E-2</v>
      </c>
      <c r="S6" s="2">
        <f t="shared" si="3"/>
        <v>0.11893549589747815</v>
      </c>
      <c r="T6" s="2">
        <v>6.4222431211856723E-2</v>
      </c>
      <c r="U6" s="2">
        <v>4.0845544663761703E-2</v>
      </c>
      <c r="V6" s="3">
        <f t="shared" si="6"/>
        <v>4.507945003975871E-2</v>
      </c>
      <c r="W6">
        <v>22</v>
      </c>
      <c r="X6">
        <f t="shared" si="5"/>
        <v>3.0910424533583161</v>
      </c>
    </row>
    <row r="7" spans="1:24" x14ac:dyDescent="0.45">
      <c r="A7" t="s">
        <v>3</v>
      </c>
      <c r="B7">
        <v>1</v>
      </c>
      <c r="C7">
        <v>2015</v>
      </c>
      <c r="D7">
        <v>64374686</v>
      </c>
      <c r="E7">
        <v>5790261</v>
      </c>
      <c r="F7">
        <v>91279</v>
      </c>
      <c r="G7">
        <v>324378</v>
      </c>
      <c r="H7">
        <v>1971634</v>
      </c>
      <c r="I7">
        <v>656020</v>
      </c>
      <c r="J7">
        <v>30915308</v>
      </c>
      <c r="K7">
        <v>3.7957611751290998</v>
      </c>
      <c r="L7">
        <v>15.8219673058815</v>
      </c>
      <c r="M7">
        <v>24.006275960852001</v>
      </c>
      <c r="N7" s="2">
        <f t="shared" si="0"/>
        <v>3.1235672536169101</v>
      </c>
      <c r="O7" s="2">
        <v>0.63239999999999996</v>
      </c>
      <c r="P7" s="2">
        <f t="shared" si="1"/>
        <v>17.980231039266375</v>
      </c>
      <c r="Q7" s="2">
        <f t="shared" si="2"/>
        <v>1.4179331298019846E-3</v>
      </c>
      <c r="R7" s="2">
        <f t="shared" si="4"/>
        <v>8.9946240669818572E-2</v>
      </c>
      <c r="S7" s="2">
        <f t="shared" si="3"/>
        <v>0.16452242150419399</v>
      </c>
      <c r="T7" s="2">
        <v>6.9871543059861096E-2</v>
      </c>
      <c r="U7" s="2">
        <v>6.3120090517575396E-3</v>
      </c>
      <c r="V7" s="3">
        <f t="shared" si="6"/>
        <v>2.1219908273273552E-2</v>
      </c>
      <c r="W7">
        <v>5</v>
      </c>
      <c r="X7">
        <f t="shared" si="5"/>
        <v>1.6094379124341003</v>
      </c>
    </row>
    <row r="8" spans="1:24" x14ac:dyDescent="0.45">
      <c r="A8" t="s">
        <v>3</v>
      </c>
      <c r="B8">
        <v>1</v>
      </c>
      <c r="C8">
        <v>2016</v>
      </c>
      <c r="D8">
        <v>74171503</v>
      </c>
      <c r="E8">
        <v>5842462</v>
      </c>
      <c r="F8">
        <v>243914</v>
      </c>
      <c r="G8">
        <v>436194</v>
      </c>
      <c r="H8">
        <v>2262144</v>
      </c>
      <c r="I8">
        <v>997002</v>
      </c>
      <c r="J8">
        <v>39796167</v>
      </c>
      <c r="K8">
        <v>3.8729071718276198</v>
      </c>
      <c r="L8">
        <v>18.127194558590599</v>
      </c>
      <c r="M8">
        <v>24.4994330579914</v>
      </c>
      <c r="N8" s="2">
        <f t="shared" si="0"/>
        <v>3.0161419134401397</v>
      </c>
      <c r="O8" s="2">
        <v>0.37280000000000002</v>
      </c>
      <c r="P8" s="2">
        <f t="shared" si="1"/>
        <v>18.12189057776521</v>
      </c>
      <c r="Q8" s="2">
        <f t="shared" si="2"/>
        <v>3.2885136492380369E-3</v>
      </c>
      <c r="R8" s="2">
        <f t="shared" si="4"/>
        <v>7.8769632051274463E-2</v>
      </c>
      <c r="S8" s="2">
        <f t="shared" si="3"/>
        <v>0.19282326854523851</v>
      </c>
      <c r="T8" s="2">
        <v>6.6900089266042351E-2</v>
      </c>
      <c r="U8" s="2">
        <v>2.6682481696908199E-2</v>
      </c>
      <c r="V8" s="3">
        <f t="shared" si="6"/>
        <v>2.5052714247580678E-2</v>
      </c>
      <c r="W8">
        <v>5</v>
      </c>
      <c r="X8">
        <f t="shared" si="5"/>
        <v>1.6094379124341003</v>
      </c>
    </row>
    <row r="9" spans="1:24" x14ac:dyDescent="0.45">
      <c r="A9" t="s">
        <v>3</v>
      </c>
      <c r="B9">
        <v>1</v>
      </c>
      <c r="C9">
        <v>2017</v>
      </c>
      <c r="D9">
        <v>84503069</v>
      </c>
      <c r="E9">
        <v>6118589</v>
      </c>
      <c r="F9">
        <v>488836</v>
      </c>
      <c r="G9">
        <v>524453</v>
      </c>
      <c r="H9">
        <v>2706292</v>
      </c>
      <c r="I9">
        <v>1327024</v>
      </c>
      <c r="J9">
        <v>47902493</v>
      </c>
      <c r="K9">
        <v>3.4878659520670099</v>
      </c>
      <c r="L9">
        <v>19.9794949903735</v>
      </c>
      <c r="M9">
        <v>24.408110955118602</v>
      </c>
      <c r="N9" s="2">
        <f t="shared" si="0"/>
        <v>2.9678752660015078</v>
      </c>
      <c r="O9" s="2">
        <v>0.46600000000000003</v>
      </c>
      <c r="P9" s="2">
        <f t="shared" si="1"/>
        <v>18.252298411194491</v>
      </c>
      <c r="Q9" s="2">
        <f t="shared" si="2"/>
        <v>5.7848313177832631E-3</v>
      </c>
      <c r="R9" s="2">
        <f t="shared" si="4"/>
        <v>7.2406707500765444E-2</v>
      </c>
      <c r="S9" s="2">
        <f t="shared" si="3"/>
        <v>0.19379024879798631</v>
      </c>
      <c r="T9" s="2">
        <v>6.9401903735920603E-2</v>
      </c>
      <c r="U9" s="2">
        <v>3.5202568881161703E-2</v>
      </c>
      <c r="V9" s="3">
        <f t="shared" si="6"/>
        <v>2.7702608296399103E-2</v>
      </c>
      <c r="W9">
        <v>12</v>
      </c>
      <c r="X9">
        <f t="shared" si="5"/>
        <v>2.4849066497880004</v>
      </c>
    </row>
    <row r="10" spans="1:24" x14ac:dyDescent="0.45">
      <c r="A10" t="s">
        <v>3</v>
      </c>
      <c r="B10">
        <v>1</v>
      </c>
      <c r="C10">
        <v>2018</v>
      </c>
      <c r="D10">
        <v>89997891</v>
      </c>
      <c r="E10">
        <v>6868745</v>
      </c>
      <c r="F10">
        <v>714907</v>
      </c>
      <c r="G10">
        <v>874379</v>
      </c>
      <c r="H10">
        <v>2912879</v>
      </c>
      <c r="I10">
        <v>984230</v>
      </c>
      <c r="J10">
        <v>52184147</v>
      </c>
      <c r="K10">
        <v>3.9598095587873798</v>
      </c>
      <c r="L10">
        <v>20.511087535654799</v>
      </c>
      <c r="M10">
        <v>25.6092485278987</v>
      </c>
      <c r="N10" s="2">
        <f t="shared" si="0"/>
        <v>3.042677743639242</v>
      </c>
      <c r="O10" s="2">
        <v>0.3921</v>
      </c>
      <c r="P10" s="2">
        <f t="shared" si="1"/>
        <v>18.315296794686642</v>
      </c>
      <c r="Q10" s="2">
        <f t="shared" si="2"/>
        <v>7.9435972560734786E-3</v>
      </c>
      <c r="R10" s="2">
        <f t="shared" si="4"/>
        <v>7.6321177348478084E-2</v>
      </c>
      <c r="S10" s="2">
        <f t="shared" si="3"/>
        <v>0.30017690401832686</v>
      </c>
      <c r="T10" s="2">
        <v>7.4650068557275087E-2</v>
      </c>
      <c r="U10" s="2">
        <v>3.5396280594264098E-2</v>
      </c>
      <c r="V10" s="3">
        <f t="shared" si="6"/>
        <v>1.8860708789586997E-2</v>
      </c>
      <c r="W10">
        <v>16</v>
      </c>
      <c r="X10">
        <f t="shared" si="5"/>
        <v>2.7725887222397811</v>
      </c>
    </row>
    <row r="11" spans="1:24" x14ac:dyDescent="0.45">
      <c r="A11" t="s">
        <v>3</v>
      </c>
      <c r="B11">
        <v>1</v>
      </c>
      <c r="C11">
        <v>2019</v>
      </c>
      <c r="D11">
        <v>102556924</v>
      </c>
      <c r="E11">
        <v>7842779</v>
      </c>
      <c r="F11">
        <v>1000675</v>
      </c>
      <c r="G11">
        <v>1160687</v>
      </c>
      <c r="H11">
        <v>3638939</v>
      </c>
      <c r="I11">
        <v>1312379</v>
      </c>
      <c r="J11">
        <v>56802965</v>
      </c>
      <c r="K11">
        <v>4.0230286341449499</v>
      </c>
      <c r="L11">
        <v>21.918245362198</v>
      </c>
      <c r="M11">
        <v>26.1660509841828</v>
      </c>
      <c r="N11" s="2">
        <f t="shared" si="0"/>
        <v>3.065728626333454</v>
      </c>
      <c r="O11" s="2">
        <v>0.56910000000000005</v>
      </c>
      <c r="P11" s="2">
        <f t="shared" si="1"/>
        <v>18.445928558487172</v>
      </c>
      <c r="Q11" s="2">
        <f t="shared" si="2"/>
        <v>9.75726417067657E-3</v>
      </c>
      <c r="R11" s="2">
        <f t="shared" si="4"/>
        <v>7.6472447633082294E-2</v>
      </c>
      <c r="S11" s="2">
        <f t="shared" si="3"/>
        <v>0.31896302740991261</v>
      </c>
      <c r="T11" s="2">
        <v>7.3592627010500566E-2</v>
      </c>
      <c r="U11" s="2">
        <v>2.7958236745225001E-2</v>
      </c>
      <c r="V11" s="3">
        <f t="shared" si="6"/>
        <v>2.3104058036407079E-2</v>
      </c>
      <c r="W11">
        <v>23</v>
      </c>
      <c r="X11">
        <f t="shared" si="5"/>
        <v>3.1354942159291497</v>
      </c>
    </row>
    <row r="12" spans="1:24" x14ac:dyDescent="0.45">
      <c r="A12" t="s">
        <v>3</v>
      </c>
      <c r="B12">
        <v>1</v>
      </c>
      <c r="C12">
        <v>2020</v>
      </c>
      <c r="D12">
        <v>116366981</v>
      </c>
      <c r="E12">
        <v>8911349</v>
      </c>
      <c r="F12">
        <v>1117657</v>
      </c>
      <c r="G12">
        <v>1393354</v>
      </c>
      <c r="H12">
        <v>3774900</v>
      </c>
      <c r="I12">
        <v>1323786</v>
      </c>
      <c r="J12">
        <v>63293151</v>
      </c>
      <c r="K12">
        <v>4.0399838659549498</v>
      </c>
      <c r="L12">
        <v>23.747196863397502</v>
      </c>
      <c r="M12">
        <v>26.4783455246633</v>
      </c>
      <c r="N12" s="2">
        <f t="shared" si="0"/>
        <v>3.0652017702375884</v>
      </c>
      <c r="O12" s="2">
        <v>0.54269999999999996</v>
      </c>
      <c r="P12" s="2">
        <f t="shared" si="1"/>
        <v>18.572259384635245</v>
      </c>
      <c r="Q12" s="2">
        <f t="shared" si="2"/>
        <v>9.6045887793548591E-3</v>
      </c>
      <c r="R12" s="2">
        <f t="shared" si="4"/>
        <v>7.6579704340701257E-2</v>
      </c>
      <c r="S12" s="2">
        <f t="shared" si="3"/>
        <v>0.36911017510397626</v>
      </c>
      <c r="T12" s="2">
        <v>2.8654132091227212E-2</v>
      </c>
      <c r="U12" s="2">
        <v>3.2209343665251404E-2</v>
      </c>
      <c r="V12" s="3">
        <f t="shared" si="6"/>
        <v>2.0915153995098142E-2</v>
      </c>
      <c r="W12">
        <v>14</v>
      </c>
      <c r="X12">
        <f t="shared" si="5"/>
        <v>2.6390573296152584</v>
      </c>
    </row>
    <row r="13" spans="1:24" x14ac:dyDescent="0.45">
      <c r="A13" t="s">
        <v>3</v>
      </c>
      <c r="B13">
        <v>1</v>
      </c>
      <c r="C13">
        <v>2021</v>
      </c>
      <c r="D13">
        <v>120936804</v>
      </c>
      <c r="E13">
        <v>11729061</v>
      </c>
      <c r="F13">
        <v>1559978</v>
      </c>
      <c r="G13">
        <v>1471160</v>
      </c>
      <c r="H13">
        <v>4535723</v>
      </c>
      <c r="I13">
        <v>1616762</v>
      </c>
      <c r="J13">
        <v>68983999</v>
      </c>
      <c r="K13">
        <v>2.9295233226858799</v>
      </c>
      <c r="L13">
        <v>25.554737309897</v>
      </c>
      <c r="M13">
        <v>27.207097804316199</v>
      </c>
      <c r="N13" s="2">
        <f t="shared" si="0"/>
        <v>3.3081405344719896</v>
      </c>
      <c r="P13" s="2">
        <f t="shared" si="1"/>
        <v>18.610778686133056</v>
      </c>
      <c r="Q13" s="2">
        <f t="shared" si="2"/>
        <v>1.2899117128975891E-2</v>
      </c>
      <c r="R13" s="2">
        <f t="shared" si="4"/>
        <v>9.6985041873605321E-2</v>
      </c>
      <c r="S13" s="2">
        <f t="shared" si="3"/>
        <v>0.32434961306058591</v>
      </c>
      <c r="T13" s="2">
        <v>2.5615641067098523E-2</v>
      </c>
      <c r="U13" s="2">
        <v>1.8347155481044399E-2</v>
      </c>
      <c r="V13" s="3">
        <f t="shared" si="6"/>
        <v>2.343676828593251E-2</v>
      </c>
      <c r="W13">
        <v>33</v>
      </c>
      <c r="X13">
        <f t="shared" si="5"/>
        <v>3.4965075614664802</v>
      </c>
    </row>
    <row r="14" spans="1:24" x14ac:dyDescent="0.45">
      <c r="A14" t="s">
        <v>3</v>
      </c>
      <c r="B14">
        <v>1</v>
      </c>
      <c r="C14">
        <v>2022</v>
      </c>
      <c r="D14">
        <v>130146645</v>
      </c>
      <c r="E14">
        <v>13053393</v>
      </c>
      <c r="F14">
        <v>1356730</v>
      </c>
      <c r="G14">
        <v>720474</v>
      </c>
      <c r="H14">
        <v>4485854</v>
      </c>
      <c r="I14">
        <v>2365609</v>
      </c>
      <c r="J14">
        <v>82010652</v>
      </c>
      <c r="K14">
        <v>3.0268176838110499</v>
      </c>
      <c r="L14">
        <v>19.886983507523201</v>
      </c>
      <c r="M14">
        <v>27.746488205671799</v>
      </c>
      <c r="N14" s="2">
        <f t="shared" si="0"/>
        <v>3.3157381950919111</v>
      </c>
      <c r="O14" s="2">
        <v>0.58699999999999997</v>
      </c>
      <c r="P14" s="2">
        <f t="shared" si="1"/>
        <v>18.68417241112407</v>
      </c>
      <c r="Q14" s="2">
        <f t="shared" si="2"/>
        <v>1.0424625237169962E-2</v>
      </c>
      <c r="R14" s="2">
        <f t="shared" si="4"/>
        <v>0.10029757586144461</v>
      </c>
      <c r="S14" s="2">
        <f t="shared" si="3"/>
        <v>0.1606102204842155</v>
      </c>
      <c r="T14" s="2">
        <v>8.0197923744283764E-2</v>
      </c>
      <c r="U14" s="2">
        <v>3.1565074996312899E-2</v>
      </c>
      <c r="V14" s="3">
        <f t="shared" si="6"/>
        <v>2.8845143189448121E-2</v>
      </c>
      <c r="W14">
        <v>40</v>
      </c>
      <c r="X14">
        <f t="shared" si="5"/>
        <v>3.6888794541139363</v>
      </c>
    </row>
    <row r="15" spans="1:24" x14ac:dyDescent="0.45">
      <c r="A15" t="s">
        <v>3</v>
      </c>
      <c r="B15">
        <v>1</v>
      </c>
      <c r="C15">
        <v>2023</v>
      </c>
      <c r="D15">
        <v>162099173</v>
      </c>
      <c r="E15">
        <v>13479217</v>
      </c>
      <c r="F15">
        <v>453502</v>
      </c>
      <c r="G15">
        <v>1577408</v>
      </c>
      <c r="H15">
        <v>4335614</v>
      </c>
      <c r="I15">
        <v>2857165</v>
      </c>
      <c r="J15">
        <v>98107189</v>
      </c>
      <c r="K15">
        <v>3.07187771218757</v>
      </c>
      <c r="L15">
        <v>19.004474740999601</v>
      </c>
      <c r="M15">
        <v>27.341668248477099</v>
      </c>
      <c r="N15" s="2">
        <f t="shared" si="0"/>
        <v>3.0625007345795163</v>
      </c>
      <c r="P15" s="2">
        <f t="shared" si="1"/>
        <v>18.903718884903871</v>
      </c>
      <c r="Q15" s="2">
        <f t="shared" si="2"/>
        <v>2.7976823792925827E-3</v>
      </c>
      <c r="R15" s="2">
        <f t="shared" si="4"/>
        <v>8.3154137991808263E-2</v>
      </c>
      <c r="S15" s="2">
        <f t="shared" si="3"/>
        <v>0.36382574648019866</v>
      </c>
      <c r="T15" s="2">
        <v>5.0499999999999996E-2</v>
      </c>
      <c r="U15" s="2">
        <v>3.2500000000000001E-2</v>
      </c>
      <c r="V15" s="3">
        <f t="shared" si="6"/>
        <v>2.9122891289852366E-2</v>
      </c>
      <c r="W15">
        <v>8</v>
      </c>
      <c r="X15">
        <f t="shared" si="5"/>
        <v>2.0794415416798357</v>
      </c>
    </row>
    <row r="16" spans="1:24" x14ac:dyDescent="0.45">
      <c r="A16" t="s">
        <v>3</v>
      </c>
      <c r="B16">
        <v>1</v>
      </c>
      <c r="C16">
        <v>2024</v>
      </c>
      <c r="D16">
        <v>176713113</v>
      </c>
      <c r="E16">
        <v>14024232</v>
      </c>
      <c r="F16">
        <v>585556</v>
      </c>
      <c r="G16">
        <v>1485296</v>
      </c>
      <c r="H16">
        <v>4520553</v>
      </c>
      <c r="I16">
        <v>3691211</v>
      </c>
      <c r="J16">
        <v>98738176</v>
      </c>
      <c r="K16">
        <v>3.0966938195511502</v>
      </c>
      <c r="L16">
        <v>27.889422983664101</v>
      </c>
      <c r="M16">
        <v>27.243425052219401</v>
      </c>
      <c r="N16" s="2">
        <f t="shared" si="0"/>
        <v>3.0236332304872908</v>
      </c>
      <c r="P16" s="2">
        <f t="shared" si="1"/>
        <v>18.990038145062776</v>
      </c>
      <c r="Q16" s="2">
        <f t="shared" si="2"/>
        <v>3.3135967674340046E-3</v>
      </c>
      <c r="R16" s="2">
        <f t="shared" si="4"/>
        <v>7.9361580823942596E-2</v>
      </c>
      <c r="S16" s="2">
        <f t="shared" si="3"/>
        <v>0.32856511139234512</v>
      </c>
      <c r="T16" s="2">
        <v>7.0900000000000005E-2</v>
      </c>
      <c r="U16" s="2">
        <v>3.6299999999999999E-2</v>
      </c>
      <c r="V16" s="3">
        <f t="shared" si="6"/>
        <v>3.7383828115277316E-2</v>
      </c>
      <c r="W16">
        <v>49</v>
      </c>
      <c r="X16">
        <f t="shared" si="5"/>
        <v>3.8918202981106265</v>
      </c>
    </row>
    <row r="17" spans="1:24" x14ac:dyDescent="0.45">
      <c r="A17" t="s">
        <v>4</v>
      </c>
      <c r="B17">
        <v>2</v>
      </c>
      <c r="C17">
        <v>2010</v>
      </c>
      <c r="D17">
        <v>205102950</v>
      </c>
      <c r="E17">
        <v>11376757</v>
      </c>
      <c r="F17">
        <v>2334794</v>
      </c>
      <c r="G17">
        <v>1325908</v>
      </c>
      <c r="H17">
        <v>5489678</v>
      </c>
      <c r="I17">
        <v>292806</v>
      </c>
      <c r="J17">
        <v>87195105</v>
      </c>
      <c r="K17">
        <v>3.2718982631890698</v>
      </c>
      <c r="L17">
        <v>9.7075901186610398</v>
      </c>
      <c r="M17">
        <v>17.334389639963199</v>
      </c>
      <c r="N17" s="2">
        <f t="shared" ref="N17:N31" si="7">LN((Q17+R17)/(_xlfn.STDEV.S($Q$17:$Q$31)))</f>
        <v>2.3050453276344958</v>
      </c>
      <c r="P17" s="2">
        <f t="shared" si="1"/>
        <v>19.139022606166865</v>
      </c>
      <c r="Q17" s="2">
        <f t="shared" si="2"/>
        <v>1.1383522275033099E-2</v>
      </c>
      <c r="R17" s="2">
        <f t="shared" si="4"/>
        <v>5.5468519589796247E-2</v>
      </c>
      <c r="S17" s="2">
        <f t="shared" si="3"/>
        <v>0.24152746299509734</v>
      </c>
      <c r="T17" s="2">
        <v>6.4232448223948205E-2</v>
      </c>
      <c r="U17" s="2">
        <v>9.20746648778413E-2</v>
      </c>
      <c r="V17" s="3">
        <f t="shared" si="6"/>
        <v>3.3580554779995965E-3</v>
      </c>
      <c r="W17">
        <v>10</v>
      </c>
      <c r="X17">
        <f t="shared" si="5"/>
        <v>2.3025850929940459</v>
      </c>
    </row>
    <row r="18" spans="1:24" x14ac:dyDescent="0.45">
      <c r="A18" t="s">
        <v>4</v>
      </c>
      <c r="B18">
        <v>2</v>
      </c>
      <c r="C18">
        <v>2011</v>
      </c>
      <c r="D18">
        <v>281019319</v>
      </c>
      <c r="E18">
        <v>11959092</v>
      </c>
      <c r="F18">
        <v>3207841</v>
      </c>
      <c r="G18">
        <v>1038977</v>
      </c>
      <c r="H18">
        <v>7646535</v>
      </c>
      <c r="I18">
        <v>917967</v>
      </c>
      <c r="J18">
        <v>102809156</v>
      </c>
      <c r="K18">
        <v>3.59352181546691</v>
      </c>
      <c r="L18">
        <v>10.9472107468528</v>
      </c>
      <c r="M18">
        <v>19.912794817213701</v>
      </c>
      <c r="N18" s="2">
        <f t="shared" si="7"/>
        <v>2.0910129392726149</v>
      </c>
      <c r="P18" s="2">
        <f t="shared" si="1"/>
        <v>19.453933975824466</v>
      </c>
      <c r="Q18" s="2">
        <f t="shared" si="2"/>
        <v>1.1415019477717829E-2</v>
      </c>
      <c r="R18" s="2">
        <f t="shared" si="4"/>
        <v>4.2556120492200041E-2</v>
      </c>
      <c r="S18" s="2">
        <f t="shared" si="3"/>
        <v>0.13587553055076582</v>
      </c>
      <c r="T18" s="2">
        <v>6.4131688968168274E-2</v>
      </c>
      <c r="U18" s="2">
        <v>0.18677732277070699</v>
      </c>
      <c r="V18" s="3">
        <f t="shared" si="6"/>
        <v>8.9288448200080545E-3</v>
      </c>
      <c r="W18">
        <v>3</v>
      </c>
      <c r="X18">
        <f t="shared" si="5"/>
        <v>1.0986122886681098</v>
      </c>
    </row>
    <row r="19" spans="1:24" x14ac:dyDescent="0.45">
      <c r="A19" t="s">
        <v>4</v>
      </c>
      <c r="B19">
        <v>2</v>
      </c>
      <c r="C19">
        <v>2012</v>
      </c>
      <c r="D19">
        <v>176307607</v>
      </c>
      <c r="E19">
        <v>12624452</v>
      </c>
      <c r="F19">
        <v>784040</v>
      </c>
      <c r="G19">
        <v>0</v>
      </c>
      <c r="H19">
        <v>5834728</v>
      </c>
      <c r="I19">
        <v>2570970</v>
      </c>
      <c r="J19">
        <v>102814848</v>
      </c>
      <c r="K19">
        <v>3.1504539182237998</v>
      </c>
      <c r="L19">
        <v>12.0614890394782</v>
      </c>
      <c r="M19">
        <v>20.9770541106558</v>
      </c>
      <c r="N19" s="2">
        <f t="shared" si="7"/>
        <v>2.4339767606197911</v>
      </c>
      <c r="O19" s="2">
        <v>0.47020000000000001</v>
      </c>
      <c r="P19" s="2">
        <f t="shared" si="1"/>
        <v>18.987740794480356</v>
      </c>
      <c r="Q19" s="2">
        <f t="shared" si="2"/>
        <v>4.4470004065111039E-3</v>
      </c>
      <c r="R19" s="2">
        <f t="shared" si="4"/>
        <v>7.1604692587087293E-2</v>
      </c>
      <c r="S19" s="2">
        <f t="shared" si="3"/>
        <v>0</v>
      </c>
      <c r="T19" s="2">
        <v>5.5045447041188994E-2</v>
      </c>
      <c r="U19" s="2">
        <v>9.0947033955719195E-2</v>
      </c>
      <c r="V19" s="3">
        <f t="shared" si="6"/>
        <v>2.5005824061520764E-2</v>
      </c>
      <c r="W19">
        <v>7</v>
      </c>
      <c r="X19">
        <f t="shared" si="5"/>
        <v>1.9459101490553132</v>
      </c>
    </row>
    <row r="20" spans="1:24" x14ac:dyDescent="0.45">
      <c r="A20" t="s">
        <v>4</v>
      </c>
      <c r="B20">
        <v>2</v>
      </c>
      <c r="C20">
        <v>2013</v>
      </c>
      <c r="D20">
        <v>166598989</v>
      </c>
      <c r="E20">
        <v>12504202</v>
      </c>
      <c r="F20">
        <v>826493</v>
      </c>
      <c r="G20">
        <v>1263174</v>
      </c>
      <c r="H20">
        <v>5649587</v>
      </c>
      <c r="I20">
        <v>3242869</v>
      </c>
      <c r="J20">
        <v>107190021</v>
      </c>
      <c r="K20">
        <v>3.6926464082046402</v>
      </c>
      <c r="L20">
        <v>12.840142796842899</v>
      </c>
      <c r="M20">
        <v>22.1573299611807</v>
      </c>
      <c r="N20" s="2">
        <f t="shared" si="7"/>
        <v>2.4847983691376614</v>
      </c>
      <c r="P20" s="2">
        <f t="shared" si="1"/>
        <v>18.931100219251231</v>
      </c>
      <c r="Q20" s="2">
        <f t="shared" si="2"/>
        <v>4.9609724822519781E-3</v>
      </c>
      <c r="R20" s="2">
        <f t="shared" si="4"/>
        <v>7.5055689563638353E-2</v>
      </c>
      <c r="S20" s="2">
        <f t="shared" si="3"/>
        <v>0.22358696308243417</v>
      </c>
      <c r="T20" s="2">
        <v>5.5535108102607179E-2</v>
      </c>
      <c r="U20" s="2">
        <v>6.5926747589919191E-2</v>
      </c>
      <c r="V20" s="3">
        <f t="shared" si="6"/>
        <v>3.0253459881307423E-2</v>
      </c>
      <c r="W20">
        <v>3</v>
      </c>
      <c r="X20">
        <f t="shared" si="5"/>
        <v>1.0986122886681098</v>
      </c>
    </row>
    <row r="21" spans="1:24" x14ac:dyDescent="0.45">
      <c r="A21" t="s">
        <v>4</v>
      </c>
      <c r="B21">
        <v>2</v>
      </c>
      <c r="C21">
        <v>2014</v>
      </c>
      <c r="D21">
        <v>179609771</v>
      </c>
      <c r="E21">
        <v>12397303</v>
      </c>
      <c r="F21">
        <v>951802</v>
      </c>
      <c r="G21">
        <v>1290664</v>
      </c>
      <c r="H21">
        <v>6056297</v>
      </c>
      <c r="J21">
        <v>116324055</v>
      </c>
      <c r="K21">
        <v>3.8792484082456702</v>
      </c>
      <c r="L21">
        <v>14.6258764318214</v>
      </c>
      <c r="M21">
        <v>22.979955992336901</v>
      </c>
      <c r="N21" s="2">
        <f t="shared" si="7"/>
        <v>2.4109815423391603</v>
      </c>
      <c r="P21" s="2">
        <f t="shared" si="1"/>
        <v>19.006297116584143</v>
      </c>
      <c r="Q21" s="2">
        <f t="shared" si="2"/>
        <v>5.2992773984439859E-3</v>
      </c>
      <c r="R21" s="2">
        <f t="shared" si="4"/>
        <v>6.9023544381669522E-2</v>
      </c>
      <c r="S21" s="2">
        <f t="shared" si="3"/>
        <v>0.21311108091297373</v>
      </c>
      <c r="T21" s="2">
        <v>6.4222431211856723E-2</v>
      </c>
      <c r="U21" s="2">
        <v>4.0845544663761703E-2</v>
      </c>
      <c r="W21">
        <v>11</v>
      </c>
      <c r="X21">
        <f t="shared" si="5"/>
        <v>2.3978952727983707</v>
      </c>
    </row>
    <row r="22" spans="1:24" x14ac:dyDescent="0.45">
      <c r="A22" t="s">
        <v>4</v>
      </c>
      <c r="B22">
        <v>2</v>
      </c>
      <c r="C22">
        <v>2015</v>
      </c>
      <c r="D22">
        <v>201456985</v>
      </c>
      <c r="E22">
        <v>12787542</v>
      </c>
      <c r="F22">
        <v>1028232</v>
      </c>
      <c r="G22">
        <v>336762</v>
      </c>
      <c r="H22">
        <v>6220289</v>
      </c>
      <c r="I22">
        <v>1770693</v>
      </c>
      <c r="J22">
        <v>134031804</v>
      </c>
      <c r="K22">
        <v>3.7957611751290998</v>
      </c>
      <c r="L22">
        <v>15.8219673058815</v>
      </c>
      <c r="M22">
        <v>24.006275960852001</v>
      </c>
      <c r="N22" s="2">
        <f t="shared" si="7"/>
        <v>2.3305538577707221</v>
      </c>
      <c r="O22" s="2">
        <v>0.58489999999999998</v>
      </c>
      <c r="P22" s="2">
        <f t="shared" si="1"/>
        <v>19.121086442616797</v>
      </c>
      <c r="Q22" s="2">
        <f t="shared" si="2"/>
        <v>5.1039779037693831E-3</v>
      </c>
      <c r="R22" s="2">
        <f t="shared" si="4"/>
        <v>6.3475297220396701E-2</v>
      </c>
      <c r="S22" s="2">
        <f t="shared" si="3"/>
        <v>5.4139285168261476E-2</v>
      </c>
      <c r="T22" s="2">
        <v>6.9871543059861096E-2</v>
      </c>
      <c r="U22" s="2">
        <v>6.3120090517575396E-3</v>
      </c>
      <c r="V22" s="3">
        <f t="shared" ref="V22:V31" si="8">I22/J22</f>
        <v>1.3210991325611047E-2</v>
      </c>
      <c r="W22">
        <v>13</v>
      </c>
      <c r="X22">
        <f t="shared" si="5"/>
        <v>2.5649493574615367</v>
      </c>
    </row>
    <row r="23" spans="1:24" x14ac:dyDescent="0.45">
      <c r="A23" t="s">
        <v>4</v>
      </c>
      <c r="B23">
        <v>2</v>
      </c>
      <c r="C23">
        <v>2016</v>
      </c>
      <c r="D23">
        <v>233680877</v>
      </c>
      <c r="E23">
        <v>14062716</v>
      </c>
      <c r="F23">
        <v>1325174</v>
      </c>
      <c r="G23">
        <v>670613</v>
      </c>
      <c r="H23">
        <v>7562502</v>
      </c>
      <c r="I23">
        <v>1420547</v>
      </c>
      <c r="J23">
        <v>163401221</v>
      </c>
      <c r="K23">
        <v>3.8729071718276198</v>
      </c>
      <c r="L23">
        <v>18.127194558590599</v>
      </c>
      <c r="M23">
        <v>24.4994330579914</v>
      </c>
      <c r="N23" s="2">
        <f t="shared" si="7"/>
        <v>2.2899431849277936</v>
      </c>
      <c r="O23" s="2">
        <v>0.5121</v>
      </c>
      <c r="P23" s="2">
        <f t="shared" si="1"/>
        <v>19.269466969032266</v>
      </c>
      <c r="Q23" s="2">
        <f t="shared" si="2"/>
        <v>5.6708705351187121E-3</v>
      </c>
      <c r="R23" s="2">
        <f t="shared" si="4"/>
        <v>6.0179147650151962E-2</v>
      </c>
      <c r="S23" s="2">
        <f t="shared" si="3"/>
        <v>8.8676075722029554E-2</v>
      </c>
      <c r="T23" s="2">
        <v>6.6900089266042351E-2</v>
      </c>
      <c r="U23" s="2">
        <v>2.6682481696908199E-2</v>
      </c>
      <c r="V23" s="3">
        <f t="shared" si="8"/>
        <v>8.6936131278970066E-3</v>
      </c>
      <c r="W23">
        <v>17</v>
      </c>
      <c r="X23">
        <f t="shared" si="5"/>
        <v>2.8332133440562162</v>
      </c>
    </row>
    <row r="24" spans="1:24" x14ac:dyDescent="0.45">
      <c r="A24" t="s">
        <v>4</v>
      </c>
      <c r="B24">
        <v>2</v>
      </c>
      <c r="C24">
        <v>2017</v>
      </c>
      <c r="D24">
        <v>284316123</v>
      </c>
      <c r="E24">
        <v>16030847</v>
      </c>
      <c r="F24">
        <v>2118131</v>
      </c>
      <c r="G24">
        <v>2981155</v>
      </c>
      <c r="H24">
        <v>11438909</v>
      </c>
      <c r="I24">
        <v>1389619</v>
      </c>
      <c r="J24">
        <v>198513394</v>
      </c>
      <c r="K24">
        <v>3.4878659520670099</v>
      </c>
      <c r="L24">
        <v>19.9794949903735</v>
      </c>
      <c r="M24">
        <v>24.408110955118602</v>
      </c>
      <c r="N24" s="2">
        <f t="shared" si="7"/>
        <v>2.2588462818746882</v>
      </c>
      <c r="O24" s="2">
        <v>0.4713</v>
      </c>
      <c r="P24" s="2">
        <f t="shared" si="1"/>
        <v>19.465597286233749</v>
      </c>
      <c r="Q24" s="2">
        <f t="shared" si="2"/>
        <v>7.4499151776911366E-3</v>
      </c>
      <c r="R24" s="2">
        <f t="shared" si="4"/>
        <v>5.638388294989518E-2</v>
      </c>
      <c r="S24" s="2">
        <f t="shared" si="3"/>
        <v>0.26061532616440958</v>
      </c>
      <c r="T24" s="2">
        <v>6.9401903735920603E-2</v>
      </c>
      <c r="U24" s="2">
        <v>3.5202568881161703E-2</v>
      </c>
      <c r="V24" s="3">
        <f t="shared" si="8"/>
        <v>7.0001271551480299E-3</v>
      </c>
      <c r="W24">
        <v>28</v>
      </c>
      <c r="X24">
        <f t="shared" si="5"/>
        <v>3.3322045101752038</v>
      </c>
    </row>
    <row r="25" spans="1:24" x14ac:dyDescent="0.45">
      <c r="A25" t="s">
        <v>4</v>
      </c>
      <c r="B25">
        <v>2</v>
      </c>
      <c r="C25">
        <v>2018</v>
      </c>
      <c r="D25">
        <v>329333241</v>
      </c>
      <c r="E25">
        <v>21017899</v>
      </c>
      <c r="F25">
        <v>5137052</v>
      </c>
      <c r="G25">
        <v>3670279</v>
      </c>
      <c r="H25">
        <v>14033199</v>
      </c>
      <c r="I25">
        <v>1674978</v>
      </c>
      <c r="J25">
        <v>230527220</v>
      </c>
      <c r="K25">
        <v>3.9598095587873798</v>
      </c>
      <c r="L25">
        <v>20.511087535654799</v>
      </c>
      <c r="M25">
        <v>25.6092485278987</v>
      </c>
      <c r="N25" s="2">
        <f t="shared" si="7"/>
        <v>2.477287134217347</v>
      </c>
      <c r="O25" s="2">
        <v>0.46250000000000002</v>
      </c>
      <c r="P25" s="2">
        <f t="shared" si="1"/>
        <v>19.612580686679621</v>
      </c>
      <c r="Q25" s="2">
        <f t="shared" si="2"/>
        <v>1.5598340405607583E-2</v>
      </c>
      <c r="R25" s="2">
        <f t="shared" si="4"/>
        <v>6.3819549269246101E-2</v>
      </c>
      <c r="S25" s="2">
        <f t="shared" si="3"/>
        <v>0.26154257486122728</v>
      </c>
      <c r="T25" s="2">
        <v>7.4650068557275087E-2</v>
      </c>
      <c r="U25" s="2">
        <v>3.5396280594264098E-2</v>
      </c>
      <c r="V25" s="3">
        <f t="shared" si="8"/>
        <v>7.2658578019550142E-3</v>
      </c>
      <c r="W25">
        <v>25</v>
      </c>
      <c r="X25">
        <f t="shared" si="5"/>
        <v>3.2188758248682006</v>
      </c>
    </row>
    <row r="26" spans="1:24" x14ac:dyDescent="0.45">
      <c r="A26" t="s">
        <v>4</v>
      </c>
      <c r="B26">
        <v>2</v>
      </c>
      <c r="C26">
        <v>2019</v>
      </c>
      <c r="D26">
        <v>383514439</v>
      </c>
      <c r="E26">
        <v>27765359</v>
      </c>
      <c r="F26">
        <v>6009937</v>
      </c>
      <c r="G26">
        <v>3985193</v>
      </c>
      <c r="H26">
        <v>16097353</v>
      </c>
      <c r="I26">
        <v>1449352</v>
      </c>
      <c r="J26">
        <v>268700541</v>
      </c>
      <c r="K26">
        <v>4.0230286341449499</v>
      </c>
      <c r="L26">
        <v>21.918245362198</v>
      </c>
      <c r="M26">
        <v>26.1660509841828</v>
      </c>
      <c r="N26" s="2">
        <f t="shared" si="7"/>
        <v>2.5806711365598551</v>
      </c>
      <c r="O26" s="2">
        <v>0.38129999999999997</v>
      </c>
      <c r="P26" s="2">
        <f t="shared" si="1"/>
        <v>19.76488782864952</v>
      </c>
      <c r="Q26" s="2">
        <f t="shared" si="2"/>
        <v>1.5670692909687294E-2</v>
      </c>
      <c r="R26" s="2">
        <f t="shared" si="4"/>
        <v>7.2397167294136741E-2</v>
      </c>
      <c r="S26" s="2">
        <f t="shared" si="3"/>
        <v>0.24756821820332822</v>
      </c>
      <c r="T26" s="2">
        <v>7.3592627010500566E-2</v>
      </c>
      <c r="U26" s="2">
        <v>2.7958236745225001E-2</v>
      </c>
      <c r="V26" s="3">
        <f t="shared" si="8"/>
        <v>5.3939303382347864E-3</v>
      </c>
      <c r="W26">
        <v>17</v>
      </c>
      <c r="X26">
        <f t="shared" si="5"/>
        <v>2.8332133440562162</v>
      </c>
    </row>
    <row r="27" spans="1:24" x14ac:dyDescent="0.45">
      <c r="A27" t="s">
        <v>4</v>
      </c>
      <c r="B27">
        <v>2</v>
      </c>
      <c r="C27">
        <v>2020</v>
      </c>
      <c r="D27">
        <v>444530104</v>
      </c>
      <c r="E27">
        <v>35448163</v>
      </c>
      <c r="F27">
        <v>7682823</v>
      </c>
      <c r="G27">
        <v>3579186</v>
      </c>
      <c r="H27">
        <v>18161309</v>
      </c>
      <c r="I27">
        <v>1840384</v>
      </c>
      <c r="J27">
        <v>311478989</v>
      </c>
      <c r="K27">
        <v>4.0399838659549498</v>
      </c>
      <c r="L27">
        <v>23.747196863397502</v>
      </c>
      <c r="M27">
        <v>26.4783455246633</v>
      </c>
      <c r="N27" s="2">
        <f t="shared" si="7"/>
        <v>2.6775426528796284</v>
      </c>
      <c r="O27" s="2">
        <v>0.50629999999999997</v>
      </c>
      <c r="P27" s="2">
        <f t="shared" si="1"/>
        <v>19.912528336159273</v>
      </c>
      <c r="Q27" s="2">
        <f t="shared" si="2"/>
        <v>1.7283020724283726E-2</v>
      </c>
      <c r="R27" s="2">
        <f t="shared" si="4"/>
        <v>7.9742997563107668E-2</v>
      </c>
      <c r="S27" s="2">
        <f t="shared" si="3"/>
        <v>0.19707753444424078</v>
      </c>
      <c r="T27" s="2">
        <v>2.8654132091227212E-2</v>
      </c>
      <c r="U27" s="2">
        <v>3.2209343665251404E-2</v>
      </c>
      <c r="V27" s="3">
        <f t="shared" si="8"/>
        <v>5.9085333682009607E-3</v>
      </c>
      <c r="W27">
        <v>1</v>
      </c>
      <c r="X27">
        <f t="shared" si="5"/>
        <v>0</v>
      </c>
    </row>
    <row r="28" spans="1:24" x14ac:dyDescent="0.45">
      <c r="A28" t="s">
        <v>4</v>
      </c>
      <c r="B28">
        <v>2</v>
      </c>
      <c r="C28">
        <v>2021</v>
      </c>
      <c r="D28">
        <v>527769944</v>
      </c>
      <c r="E28">
        <v>44900909</v>
      </c>
      <c r="F28">
        <v>9602746</v>
      </c>
      <c r="G28">
        <v>4619205</v>
      </c>
      <c r="H28">
        <v>23563997</v>
      </c>
      <c r="I28">
        <v>7548743</v>
      </c>
      <c r="J28">
        <v>361912538</v>
      </c>
      <c r="K28">
        <v>2.9295233226858799</v>
      </c>
      <c r="L28">
        <v>25.554737309897</v>
      </c>
      <c r="M28">
        <v>27.207097804316199</v>
      </c>
      <c r="N28" s="2">
        <f t="shared" si="7"/>
        <v>2.7399260465643698</v>
      </c>
      <c r="P28" s="2">
        <f t="shared" si="1"/>
        <v>20.084171034599215</v>
      </c>
      <c r="Q28" s="2">
        <f t="shared" si="2"/>
        <v>1.8194946698215159E-2</v>
      </c>
      <c r="R28" s="2">
        <f t="shared" si="4"/>
        <v>8.5076669314840717E-2</v>
      </c>
      <c r="S28" s="2">
        <f t="shared" si="3"/>
        <v>0.19602807622153406</v>
      </c>
      <c r="T28" s="2">
        <v>2.5615641067098523E-2</v>
      </c>
      <c r="U28" s="2">
        <v>1.8347155481044399E-2</v>
      </c>
      <c r="V28" s="3">
        <f t="shared" si="8"/>
        <v>2.0857920650430739E-2</v>
      </c>
      <c r="W28">
        <v>34</v>
      </c>
      <c r="X28">
        <f t="shared" si="5"/>
        <v>3.5263605246161616</v>
      </c>
    </row>
    <row r="29" spans="1:24" x14ac:dyDescent="0.45">
      <c r="A29" t="s">
        <v>4</v>
      </c>
      <c r="B29">
        <v>2</v>
      </c>
      <c r="C29">
        <v>2022</v>
      </c>
      <c r="D29">
        <v>607875185</v>
      </c>
      <c r="E29">
        <v>58438663</v>
      </c>
      <c r="F29">
        <v>13688193</v>
      </c>
      <c r="G29">
        <v>5256538</v>
      </c>
      <c r="H29">
        <v>28790067</v>
      </c>
      <c r="I29">
        <v>3044915</v>
      </c>
      <c r="J29">
        <v>413706244</v>
      </c>
      <c r="K29">
        <v>3.0268176838110499</v>
      </c>
      <c r="L29">
        <v>19.886983507523201</v>
      </c>
      <c r="M29">
        <v>27.746488205671799</v>
      </c>
      <c r="N29" s="2">
        <f t="shared" si="7"/>
        <v>2.8787756440952705</v>
      </c>
      <c r="O29" s="2">
        <v>0.57630000000000003</v>
      </c>
      <c r="P29" s="2">
        <f t="shared" si="1"/>
        <v>20.225480131027062</v>
      </c>
      <c r="Q29" s="2">
        <f t="shared" si="2"/>
        <v>2.2518098020402E-2</v>
      </c>
      <c r="R29" s="2">
        <f t="shared" si="4"/>
        <v>9.6135957581489365E-2</v>
      </c>
      <c r="S29" s="2">
        <f t="shared" si="3"/>
        <v>0.18258165220664474</v>
      </c>
      <c r="T29" s="2">
        <v>8.0197923744283764E-2</v>
      </c>
      <c r="U29" s="2">
        <v>3.1565074996312899E-2</v>
      </c>
      <c r="V29" s="3">
        <f t="shared" si="8"/>
        <v>7.3600895421824962E-3</v>
      </c>
      <c r="W29">
        <v>87</v>
      </c>
      <c r="X29">
        <f t="shared" si="5"/>
        <v>4.4659081186545837</v>
      </c>
    </row>
    <row r="30" spans="1:24" x14ac:dyDescent="0.45">
      <c r="A30" t="s">
        <v>4</v>
      </c>
      <c r="B30">
        <v>2</v>
      </c>
      <c r="C30">
        <v>2023</v>
      </c>
      <c r="D30">
        <v>718794589</v>
      </c>
      <c r="E30">
        <v>70955961</v>
      </c>
      <c r="F30">
        <v>16044733</v>
      </c>
      <c r="G30">
        <v>7786946</v>
      </c>
      <c r="H30">
        <v>32746516</v>
      </c>
      <c r="I30">
        <v>5887225</v>
      </c>
      <c r="J30">
        <v>487601852</v>
      </c>
      <c r="K30">
        <v>3.07187771218757</v>
      </c>
      <c r="L30">
        <v>19.004474740999601</v>
      </c>
      <c r="M30">
        <v>27.341668248477099</v>
      </c>
      <c r="N30" s="2">
        <f t="shared" si="7"/>
        <v>2.8986592281359771</v>
      </c>
      <c r="P30" s="2">
        <f t="shared" si="1"/>
        <v>20.393086185021193</v>
      </c>
      <c r="Q30" s="2">
        <f t="shared" si="2"/>
        <v>2.2321722012851715E-2</v>
      </c>
      <c r="R30" s="2">
        <f t="shared" si="4"/>
        <v>9.8715213060681511E-2</v>
      </c>
      <c r="S30" s="2">
        <f t="shared" si="3"/>
        <v>0.23779464050465704</v>
      </c>
      <c r="T30" s="2">
        <v>5.0499999999999996E-2</v>
      </c>
      <c r="U30" s="2">
        <v>3.2500000000000001E-2</v>
      </c>
      <c r="V30" s="3">
        <f t="shared" si="8"/>
        <v>1.2073836421769785E-2</v>
      </c>
      <c r="W30">
        <v>2</v>
      </c>
      <c r="X30">
        <f t="shared" si="5"/>
        <v>0.69314718055994529</v>
      </c>
    </row>
    <row r="31" spans="1:24" x14ac:dyDescent="0.45">
      <c r="A31" t="s">
        <v>4</v>
      </c>
      <c r="B31">
        <v>2</v>
      </c>
      <c r="C31">
        <v>2024</v>
      </c>
      <c r="D31">
        <v>864005703</v>
      </c>
      <c r="E31">
        <v>83461678</v>
      </c>
      <c r="F31">
        <v>16789768</v>
      </c>
      <c r="G31">
        <v>5720057</v>
      </c>
      <c r="H31">
        <v>33514759</v>
      </c>
      <c r="I31">
        <v>8649634</v>
      </c>
      <c r="J31">
        <v>580686248</v>
      </c>
      <c r="K31">
        <v>3.0966938195511502</v>
      </c>
      <c r="L31">
        <v>27.889422983664101</v>
      </c>
      <c r="M31">
        <v>27.243425052219401</v>
      </c>
      <c r="N31" s="2">
        <f t="shared" si="7"/>
        <v>2.8564208801047224</v>
      </c>
      <c r="P31" s="2">
        <f t="shared" si="1"/>
        <v>20.577089927440991</v>
      </c>
      <c r="Q31" s="2">
        <f t="shared" si="2"/>
        <v>1.9432473584031423E-2</v>
      </c>
      <c r="R31" s="2">
        <f t="shared" si="4"/>
        <v>9.6598526734493095E-2</v>
      </c>
      <c r="S31" s="2">
        <f t="shared" si="3"/>
        <v>0.17067277732774389</v>
      </c>
      <c r="T31" s="2">
        <v>7.0900000000000005E-2</v>
      </c>
      <c r="U31" s="2">
        <v>3.6299999999999999E-2</v>
      </c>
      <c r="V31" s="3">
        <f t="shared" si="8"/>
        <v>1.4895537874008685E-2</v>
      </c>
      <c r="W31">
        <v>31</v>
      </c>
      <c r="X31">
        <f t="shared" si="5"/>
        <v>3.4339872044851463</v>
      </c>
    </row>
    <row r="32" spans="1:24" x14ac:dyDescent="0.45">
      <c r="A32" t="s">
        <v>5</v>
      </c>
      <c r="B32">
        <v>3</v>
      </c>
      <c r="C32">
        <v>2010</v>
      </c>
      <c r="K32">
        <v>3.2718982631890698</v>
      </c>
      <c r="L32">
        <v>9.7075901186610398</v>
      </c>
      <c r="M32">
        <v>17.334389639963199</v>
      </c>
      <c r="O32" s="2">
        <v>0.48620000000000002</v>
      </c>
      <c r="T32" s="2">
        <v>6.4232448223948205E-2</v>
      </c>
      <c r="U32" s="2">
        <v>9.20746648778413E-2</v>
      </c>
      <c r="W32">
        <v>0</v>
      </c>
      <c r="X32" t="e">
        <f t="shared" si="5"/>
        <v>#NUM!</v>
      </c>
    </row>
    <row r="33" spans="1:24" x14ac:dyDescent="0.45">
      <c r="A33" t="s">
        <v>5</v>
      </c>
      <c r="B33">
        <v>3</v>
      </c>
      <c r="C33">
        <v>2011</v>
      </c>
      <c r="D33">
        <v>25738209</v>
      </c>
      <c r="E33">
        <v>3244340</v>
      </c>
      <c r="F33">
        <v>152207</v>
      </c>
      <c r="G33">
        <v>3299</v>
      </c>
      <c r="H33">
        <v>615453</v>
      </c>
      <c r="J33">
        <v>16864244</v>
      </c>
      <c r="K33">
        <v>3.59352181546691</v>
      </c>
      <c r="L33">
        <v>10.9472107468528</v>
      </c>
      <c r="M33">
        <v>19.912794817213701</v>
      </c>
      <c r="N33" s="2">
        <f t="shared" ref="N33:N46" si="9">LN((Q33+R33)/(_xlfn.STDEV.S($Q$32:$Q$46)))</f>
        <v>4.4294399563999303</v>
      </c>
      <c r="P33" s="2">
        <f t="shared" ref="P33:P64" si="10">LN(D33)</f>
        <v>17.063487177291844</v>
      </c>
      <c r="Q33" s="2">
        <f t="shared" ref="Q33:Q64" si="11">F33/D33</f>
        <v>5.9136593381458671E-3</v>
      </c>
      <c r="R33" s="2">
        <f t="shared" ref="R33:R64" si="12">E33/D33</f>
        <v>0.12605150575939453</v>
      </c>
      <c r="S33" s="2">
        <f t="shared" ref="S33:S64" si="13">G33/H33</f>
        <v>5.3602793389584584E-3</v>
      </c>
      <c r="T33" s="2">
        <v>6.4131688968168274E-2</v>
      </c>
      <c r="U33" s="2">
        <v>0.18677732277070699</v>
      </c>
      <c r="W33">
        <v>0</v>
      </c>
      <c r="X33" t="e">
        <f t="shared" si="5"/>
        <v>#NUM!</v>
      </c>
    </row>
    <row r="34" spans="1:24" x14ac:dyDescent="0.45">
      <c r="A34" t="s">
        <v>5</v>
      </c>
      <c r="B34">
        <v>3</v>
      </c>
      <c r="C34">
        <v>2012</v>
      </c>
      <c r="D34">
        <v>33738283</v>
      </c>
      <c r="E34">
        <v>3146988</v>
      </c>
      <c r="F34">
        <v>34581</v>
      </c>
      <c r="G34">
        <v>75716</v>
      </c>
      <c r="H34">
        <v>761807</v>
      </c>
      <c r="I34">
        <v>1263767</v>
      </c>
      <c r="J34">
        <v>22323080</v>
      </c>
      <c r="K34">
        <v>3.1504539182237998</v>
      </c>
      <c r="L34">
        <v>12.0614890394782</v>
      </c>
      <c r="M34">
        <v>20.9770541106558</v>
      </c>
      <c r="N34" s="2">
        <f t="shared" si="9"/>
        <v>4.0933985330678642</v>
      </c>
      <c r="P34" s="2">
        <f t="shared" si="10"/>
        <v>17.334143744634858</v>
      </c>
      <c r="Q34" s="2">
        <f t="shared" si="11"/>
        <v>1.0249780642364048E-3</v>
      </c>
      <c r="R34" s="2">
        <f t="shared" si="12"/>
        <v>9.3276471716121412E-2</v>
      </c>
      <c r="S34" s="2">
        <f t="shared" si="13"/>
        <v>9.9390002979757336E-2</v>
      </c>
      <c r="T34" s="2">
        <v>5.5045447041188994E-2</v>
      </c>
      <c r="U34" s="2">
        <v>9.0947033955719195E-2</v>
      </c>
      <c r="V34" s="3">
        <f t="shared" ref="V34:V46" si="14">I34/J34</f>
        <v>5.6612573175386191E-2</v>
      </c>
      <c r="W34">
        <v>3</v>
      </c>
      <c r="X34">
        <f t="shared" si="5"/>
        <v>1.0986122886681098</v>
      </c>
    </row>
    <row r="35" spans="1:24" x14ac:dyDescent="0.45">
      <c r="A35" t="s">
        <v>5</v>
      </c>
      <c r="B35">
        <v>3</v>
      </c>
      <c r="C35">
        <v>2013</v>
      </c>
      <c r="D35">
        <v>50307735</v>
      </c>
      <c r="E35">
        <v>3311897</v>
      </c>
      <c r="F35">
        <v>192297</v>
      </c>
      <c r="G35">
        <v>73033</v>
      </c>
      <c r="H35">
        <v>1302672</v>
      </c>
      <c r="I35">
        <v>684067</v>
      </c>
      <c r="J35">
        <v>29513081</v>
      </c>
      <c r="K35">
        <v>3.6926464082046402</v>
      </c>
      <c r="L35">
        <v>12.840142796842899</v>
      </c>
      <c r="M35">
        <v>22.1573299611807</v>
      </c>
      <c r="N35" s="2">
        <f t="shared" si="9"/>
        <v>3.7904589426190349</v>
      </c>
      <c r="P35" s="2">
        <f t="shared" si="10"/>
        <v>17.73366940058343</v>
      </c>
      <c r="Q35" s="2">
        <f t="shared" si="11"/>
        <v>3.8224141874008042E-3</v>
      </c>
      <c r="R35" s="2">
        <f t="shared" si="12"/>
        <v>6.5832759117459769E-2</v>
      </c>
      <c r="S35" s="2">
        <f t="shared" si="13"/>
        <v>5.6063997690899932E-2</v>
      </c>
      <c r="T35" s="2">
        <v>5.5535108102607179E-2</v>
      </c>
      <c r="U35" s="2">
        <v>6.5926747589919191E-2</v>
      </c>
      <c r="V35" s="3">
        <f t="shared" si="14"/>
        <v>2.3178433996775872E-2</v>
      </c>
      <c r="W35">
        <v>4</v>
      </c>
      <c r="X35">
        <f t="shared" si="5"/>
        <v>1.3862943611198906</v>
      </c>
    </row>
    <row r="36" spans="1:24" x14ac:dyDescent="0.45">
      <c r="A36" t="s">
        <v>5</v>
      </c>
      <c r="B36">
        <v>3</v>
      </c>
      <c r="C36">
        <v>2014</v>
      </c>
      <c r="D36">
        <v>57181957</v>
      </c>
      <c r="E36">
        <v>4122045</v>
      </c>
      <c r="F36">
        <v>274075</v>
      </c>
      <c r="G36">
        <v>79700</v>
      </c>
      <c r="H36">
        <v>1172742</v>
      </c>
      <c r="I36">
        <v>784925</v>
      </c>
      <c r="J36">
        <v>36438223</v>
      </c>
      <c r="K36">
        <v>3.8792484082456702</v>
      </c>
      <c r="L36">
        <v>14.6258764318214</v>
      </c>
      <c r="M36">
        <v>22.979955992336901</v>
      </c>
      <c r="N36" s="2">
        <f t="shared" si="9"/>
        <v>3.8891411705497876</v>
      </c>
      <c r="P36" s="2">
        <f t="shared" si="10"/>
        <v>17.861748969526353</v>
      </c>
      <c r="Q36" s="2">
        <f t="shared" si="11"/>
        <v>4.7930328792349661E-3</v>
      </c>
      <c r="R36" s="2">
        <f t="shared" si="12"/>
        <v>7.2086462518238054E-2</v>
      </c>
      <c r="S36" s="2">
        <f t="shared" si="13"/>
        <v>6.7960386854056559E-2</v>
      </c>
      <c r="T36" s="2">
        <v>6.4222431211856723E-2</v>
      </c>
      <c r="U36" s="2">
        <v>4.0845544663761703E-2</v>
      </c>
      <c r="V36" s="3">
        <f t="shared" si="14"/>
        <v>2.1541253534784064E-2</v>
      </c>
      <c r="W36">
        <v>8</v>
      </c>
      <c r="X36">
        <f t="shared" si="5"/>
        <v>2.0794415416798357</v>
      </c>
    </row>
    <row r="37" spans="1:24" x14ac:dyDescent="0.45">
      <c r="A37" t="s">
        <v>5</v>
      </c>
      <c r="B37">
        <v>3</v>
      </c>
      <c r="C37">
        <v>2015</v>
      </c>
      <c r="D37">
        <v>63460126</v>
      </c>
      <c r="E37">
        <v>5011667</v>
      </c>
      <c r="F37">
        <v>380408</v>
      </c>
      <c r="G37">
        <v>121688</v>
      </c>
      <c r="H37">
        <v>1205303</v>
      </c>
      <c r="I37">
        <v>292820</v>
      </c>
      <c r="J37">
        <v>41754607</v>
      </c>
      <c r="K37">
        <v>3.7957611751290998</v>
      </c>
      <c r="L37">
        <v>15.8219673058815</v>
      </c>
      <c r="M37">
        <v>24.006275960852001</v>
      </c>
      <c r="N37" s="2">
        <f t="shared" si="9"/>
        <v>3.9891757597529045</v>
      </c>
      <c r="P37" s="2">
        <f t="shared" si="10"/>
        <v>17.965922329620032</v>
      </c>
      <c r="Q37" s="2">
        <f t="shared" si="11"/>
        <v>5.9944412968861742E-3</v>
      </c>
      <c r="R37" s="2">
        <f t="shared" si="12"/>
        <v>7.8973480134596638E-2</v>
      </c>
      <c r="S37" s="2">
        <f t="shared" si="13"/>
        <v>0.10096050536670033</v>
      </c>
      <c r="T37" s="2">
        <v>6.9871543059861096E-2</v>
      </c>
      <c r="U37" s="2">
        <v>6.3120090517575396E-3</v>
      </c>
      <c r="V37" s="3">
        <f t="shared" si="14"/>
        <v>7.0128788423275065E-3</v>
      </c>
      <c r="W37">
        <v>5</v>
      </c>
      <c r="X37">
        <f t="shared" si="5"/>
        <v>1.6094379124341003</v>
      </c>
    </row>
    <row r="38" spans="1:24" x14ac:dyDescent="0.45">
      <c r="A38" t="s">
        <v>5</v>
      </c>
      <c r="B38">
        <v>3</v>
      </c>
      <c r="C38">
        <v>2016</v>
      </c>
      <c r="D38">
        <v>75938148</v>
      </c>
      <c r="E38">
        <v>5807109</v>
      </c>
      <c r="F38">
        <v>500686</v>
      </c>
      <c r="G38">
        <v>61686</v>
      </c>
      <c r="H38">
        <v>1395598</v>
      </c>
      <c r="I38">
        <v>390188</v>
      </c>
      <c r="J38">
        <v>48102315</v>
      </c>
      <c r="K38">
        <v>3.8729071718276198</v>
      </c>
      <c r="L38">
        <v>18.127194558590599</v>
      </c>
      <c r="M38">
        <v>24.4994330579914</v>
      </c>
      <c r="N38" s="2">
        <f t="shared" si="9"/>
        <v>3.9665242517260464</v>
      </c>
      <c r="O38" s="2">
        <v>0.47189999999999999</v>
      </c>
      <c r="P38" s="2">
        <f>LN(D38)</f>
        <v>18.145429724796067</v>
      </c>
      <c r="Q38" s="2">
        <f>F38/D38</f>
        <v>6.5933396216088912E-3</v>
      </c>
      <c r="R38" s="2">
        <f t="shared" si="12"/>
        <v>7.6471564726598287E-2</v>
      </c>
      <c r="S38" s="2">
        <f t="shared" si="13"/>
        <v>4.4200407280606591E-2</v>
      </c>
      <c r="T38" s="2">
        <v>6.6900089266042351E-2</v>
      </c>
      <c r="U38" s="2">
        <v>2.6682481696908199E-2</v>
      </c>
      <c r="V38" s="3">
        <f>I38/J38</f>
        <v>8.1116262283842267E-3</v>
      </c>
      <c r="W38">
        <v>12</v>
      </c>
      <c r="X38">
        <f t="shared" si="5"/>
        <v>2.4849066497880004</v>
      </c>
    </row>
    <row r="39" spans="1:24" x14ac:dyDescent="0.45">
      <c r="A39" t="s">
        <v>5</v>
      </c>
      <c r="B39">
        <v>3</v>
      </c>
      <c r="C39">
        <v>2017</v>
      </c>
      <c r="D39">
        <v>91782201</v>
      </c>
      <c r="E39">
        <v>6374612</v>
      </c>
      <c r="F39">
        <v>602472</v>
      </c>
      <c r="G39">
        <v>130074</v>
      </c>
      <c r="H39">
        <v>1787991</v>
      </c>
      <c r="I39">
        <v>351612</v>
      </c>
      <c r="J39">
        <v>55487573</v>
      </c>
      <c r="K39">
        <v>3.4878659520670099</v>
      </c>
      <c r="L39">
        <v>19.9794949903735</v>
      </c>
      <c r="M39">
        <v>24.408110955118602</v>
      </c>
      <c r="N39" s="2">
        <f t="shared" si="9"/>
        <v>3.8778699229043418</v>
      </c>
      <c r="O39" s="2">
        <v>0.37390000000000001</v>
      </c>
      <c r="P39" s="2">
        <f t="shared" si="10"/>
        <v>18.334928947902949</v>
      </c>
      <c r="Q39" s="2">
        <f t="shared" si="11"/>
        <v>6.5641485324589239E-3</v>
      </c>
      <c r="R39" s="2">
        <f t="shared" si="12"/>
        <v>6.9453684162575274E-2</v>
      </c>
      <c r="S39" s="2">
        <f t="shared" si="13"/>
        <v>7.2748688332323827E-2</v>
      </c>
      <c r="T39" s="2">
        <v>6.9401903735920603E-2</v>
      </c>
      <c r="U39" s="2">
        <v>3.5202568881161703E-2</v>
      </c>
      <c r="V39" s="3">
        <f t="shared" si="14"/>
        <v>6.3367702169997596E-3</v>
      </c>
      <c r="W39">
        <v>7</v>
      </c>
      <c r="X39">
        <f t="shared" si="5"/>
        <v>1.9459101490553132</v>
      </c>
    </row>
    <row r="40" spans="1:24" x14ac:dyDescent="0.45">
      <c r="A40" t="s">
        <v>5</v>
      </c>
      <c r="B40">
        <v>3</v>
      </c>
      <c r="C40">
        <v>2018</v>
      </c>
      <c r="D40">
        <v>97029061</v>
      </c>
      <c r="E40">
        <v>7082456</v>
      </c>
      <c r="F40">
        <v>677210</v>
      </c>
      <c r="G40">
        <v>298063</v>
      </c>
      <c r="H40">
        <v>1996735</v>
      </c>
      <c r="I40">
        <v>488075</v>
      </c>
      <c r="J40">
        <v>63979415</v>
      </c>
      <c r="K40">
        <v>3.9598095587873798</v>
      </c>
      <c r="L40">
        <v>20.511087535654799</v>
      </c>
      <c r="M40">
        <v>25.6092485278987</v>
      </c>
      <c r="N40" s="2">
        <f t="shared" si="9"/>
        <v>3.9285860088605298</v>
      </c>
      <c r="O40" s="2">
        <v>0.44969999999999999</v>
      </c>
      <c r="P40" s="2">
        <f t="shared" si="10"/>
        <v>18.390521089535302</v>
      </c>
      <c r="Q40" s="2">
        <f t="shared" si="11"/>
        <v>6.9794553613169562E-3</v>
      </c>
      <c r="R40" s="2">
        <f t="shared" si="12"/>
        <v>7.2993141714522009E-2</v>
      </c>
      <c r="S40" s="2">
        <f t="shared" si="13"/>
        <v>0.14927519175053275</v>
      </c>
      <c r="T40" s="2">
        <v>7.4650068557275087E-2</v>
      </c>
      <c r="U40" s="2">
        <v>3.5396280594264098E-2</v>
      </c>
      <c r="V40" s="3">
        <f t="shared" si="14"/>
        <v>7.6286255508900792E-3</v>
      </c>
      <c r="W40">
        <v>9</v>
      </c>
      <c r="X40">
        <f t="shared" si="5"/>
        <v>2.1972245773362196</v>
      </c>
    </row>
    <row r="41" spans="1:24" x14ac:dyDescent="0.45">
      <c r="A41" t="s">
        <v>5</v>
      </c>
      <c r="B41">
        <v>3</v>
      </c>
      <c r="C41">
        <v>2019</v>
      </c>
      <c r="D41">
        <v>107889769</v>
      </c>
      <c r="E41">
        <v>7814985</v>
      </c>
      <c r="F41">
        <v>749456</v>
      </c>
      <c r="G41">
        <v>225831</v>
      </c>
      <c r="H41">
        <v>2192386</v>
      </c>
      <c r="I41">
        <v>500026</v>
      </c>
      <c r="J41">
        <v>72933312</v>
      </c>
      <c r="K41">
        <v>4.0230286341449499</v>
      </c>
      <c r="L41">
        <v>21.918245362198</v>
      </c>
      <c r="M41">
        <v>26.1660509841828</v>
      </c>
      <c r="N41" s="2">
        <f t="shared" si="9"/>
        <v>3.9211660639388057</v>
      </c>
      <c r="O41" s="2">
        <v>0.46800000000000003</v>
      </c>
      <c r="P41" s="2">
        <f t="shared" si="10"/>
        <v>18.496620606455622</v>
      </c>
      <c r="Q41" s="2">
        <f t="shared" si="11"/>
        <v>6.9464974014357191E-3</v>
      </c>
      <c r="R41" s="2">
        <f t="shared" si="12"/>
        <v>7.2434903442976137E-2</v>
      </c>
      <c r="S41" s="2">
        <f t="shared" si="13"/>
        <v>0.10300695224289884</v>
      </c>
      <c r="T41" s="2">
        <v>7.3592627010500566E-2</v>
      </c>
      <c r="U41" s="2">
        <v>2.7958236745225001E-2</v>
      </c>
      <c r="V41" s="3">
        <f t="shared" si="14"/>
        <v>6.855934363710234E-3</v>
      </c>
      <c r="W41">
        <v>9</v>
      </c>
      <c r="X41">
        <f t="shared" si="5"/>
        <v>2.1972245773362196</v>
      </c>
    </row>
    <row r="42" spans="1:24" x14ac:dyDescent="0.45">
      <c r="A42" t="s">
        <v>5</v>
      </c>
      <c r="B42">
        <v>3</v>
      </c>
      <c r="C42">
        <v>2020</v>
      </c>
      <c r="D42">
        <v>117189393</v>
      </c>
      <c r="E42">
        <v>8363582</v>
      </c>
      <c r="F42">
        <v>587794</v>
      </c>
      <c r="G42">
        <v>198457</v>
      </c>
      <c r="H42">
        <v>2229528</v>
      </c>
      <c r="I42">
        <v>628000</v>
      </c>
      <c r="J42">
        <v>79440423</v>
      </c>
      <c r="K42">
        <v>4.0399838659549498</v>
      </c>
      <c r="L42">
        <v>23.747196863397502</v>
      </c>
      <c r="M42">
        <v>26.4783455246633</v>
      </c>
      <c r="N42" s="2">
        <f t="shared" si="9"/>
        <v>3.8826731422518583</v>
      </c>
      <c r="O42" s="2">
        <v>0.56299999999999994</v>
      </c>
      <c r="P42" s="2">
        <f t="shared" si="10"/>
        <v>18.579301927598536</v>
      </c>
      <c r="Q42" s="2">
        <f t="shared" si="11"/>
        <v>5.0157611107346546E-3</v>
      </c>
      <c r="R42" s="2">
        <f t="shared" si="12"/>
        <v>7.1368080215246099E-2</v>
      </c>
      <c r="S42" s="2">
        <f t="shared" si="13"/>
        <v>8.9013010825609723E-2</v>
      </c>
      <c r="T42" s="2">
        <v>2.8654132091227212E-2</v>
      </c>
      <c r="U42" s="2">
        <v>3.2209343665251404E-2</v>
      </c>
      <c r="V42" s="3">
        <f>I42/J42</f>
        <v>7.9052952676246444E-3</v>
      </c>
      <c r="W42">
        <v>7</v>
      </c>
      <c r="X42">
        <f t="shared" si="5"/>
        <v>1.9459101490553132</v>
      </c>
    </row>
    <row r="43" spans="1:24" x14ac:dyDescent="0.45">
      <c r="A43" t="s">
        <v>5</v>
      </c>
      <c r="B43">
        <v>3</v>
      </c>
      <c r="C43">
        <v>2021</v>
      </c>
      <c r="D43">
        <v>119791806</v>
      </c>
      <c r="E43">
        <v>9051143</v>
      </c>
      <c r="F43">
        <v>726339</v>
      </c>
      <c r="G43">
        <v>346860</v>
      </c>
      <c r="H43">
        <v>2464088</v>
      </c>
      <c r="I43">
        <v>655303</v>
      </c>
      <c r="J43">
        <v>84598379</v>
      </c>
      <c r="K43">
        <v>2.9295233226858799</v>
      </c>
      <c r="L43">
        <v>25.554737309897</v>
      </c>
      <c r="M43">
        <v>27.207097804316199</v>
      </c>
      <c r="N43" s="2">
        <f t="shared" si="9"/>
        <v>3.9489839490710263</v>
      </c>
      <c r="P43" s="2">
        <f t="shared" si="10"/>
        <v>18.601265843977536</v>
      </c>
      <c r="Q43" s="2">
        <f t="shared" si="11"/>
        <v>6.0633445997132721E-3</v>
      </c>
      <c r="R43" s="2">
        <f t="shared" si="12"/>
        <v>7.5557279769202249E-2</v>
      </c>
      <c r="S43" s="2">
        <f t="shared" si="13"/>
        <v>0.14076607653622761</v>
      </c>
      <c r="T43" s="2">
        <v>2.5615641067098523E-2</v>
      </c>
      <c r="U43" s="2">
        <v>1.8347155481044399E-2</v>
      </c>
      <c r="V43" s="3">
        <f t="shared" si="14"/>
        <v>7.7460467652695807E-3</v>
      </c>
      <c r="W43">
        <v>7</v>
      </c>
      <c r="X43">
        <f t="shared" si="5"/>
        <v>1.9459101490553132</v>
      </c>
    </row>
    <row r="44" spans="1:24" x14ac:dyDescent="0.45">
      <c r="A44" t="s">
        <v>5</v>
      </c>
      <c r="B44">
        <v>3</v>
      </c>
      <c r="C44">
        <v>2022</v>
      </c>
      <c r="D44">
        <v>128793538</v>
      </c>
      <c r="E44">
        <v>9800431</v>
      </c>
      <c r="F44">
        <v>832519</v>
      </c>
      <c r="G44">
        <v>354477</v>
      </c>
      <c r="H44">
        <v>2867676</v>
      </c>
      <c r="I44">
        <v>499513</v>
      </c>
      <c r="J44">
        <v>94120600</v>
      </c>
      <c r="K44">
        <v>3.0268176838110499</v>
      </c>
      <c r="L44">
        <v>19.886983507523201</v>
      </c>
      <c r="M44">
        <v>27.746488205671799</v>
      </c>
      <c r="N44" s="2">
        <f t="shared" si="9"/>
        <v>3.9604042771117669</v>
      </c>
      <c r="O44" s="2">
        <v>0.42249999999999999</v>
      </c>
      <c r="P44" s="2">
        <f t="shared" si="10"/>
        <v>18.673721199568476</v>
      </c>
      <c r="Q44" s="2">
        <f t="shared" si="11"/>
        <v>6.4639811354510659E-3</v>
      </c>
      <c r="R44" s="2">
        <f t="shared" si="12"/>
        <v>7.6094120498498924E-2</v>
      </c>
      <c r="S44" s="2">
        <f t="shared" si="13"/>
        <v>0.1236112447849757</v>
      </c>
      <c r="T44" s="2">
        <v>8.0197923744283764E-2</v>
      </c>
      <c r="U44" s="2">
        <v>3.1565074996312899E-2</v>
      </c>
      <c r="V44" s="3">
        <f t="shared" si="14"/>
        <v>5.307159112882833E-3</v>
      </c>
      <c r="W44">
        <v>6</v>
      </c>
      <c r="X44">
        <f t="shared" si="5"/>
        <v>1.791759469228055</v>
      </c>
    </row>
    <row r="45" spans="1:24" x14ac:dyDescent="0.45">
      <c r="A45" t="s">
        <v>5</v>
      </c>
      <c r="B45">
        <v>3</v>
      </c>
      <c r="C45">
        <v>2023</v>
      </c>
      <c r="D45">
        <v>152243071</v>
      </c>
      <c r="E45">
        <v>10868259</v>
      </c>
      <c r="F45">
        <v>854367</v>
      </c>
      <c r="G45">
        <v>657042</v>
      </c>
      <c r="H45">
        <v>3046313</v>
      </c>
      <c r="I45">
        <v>915667</v>
      </c>
      <c r="J45">
        <v>99853975</v>
      </c>
      <c r="K45">
        <v>3.07187771218757</v>
      </c>
      <c r="L45">
        <v>19.004474740999601</v>
      </c>
      <c r="M45">
        <v>27.341668248477099</v>
      </c>
      <c r="N45" s="2">
        <f t="shared" si="9"/>
        <v>3.8906996740030131</v>
      </c>
      <c r="P45" s="2">
        <f t="shared" si="10"/>
        <v>18.840988952845404</v>
      </c>
      <c r="Q45" s="2">
        <f t="shared" si="11"/>
        <v>5.611861310916409E-3</v>
      </c>
      <c r="R45" s="2">
        <f t="shared" si="12"/>
        <v>7.13875444617115E-2</v>
      </c>
      <c r="S45" s="2">
        <f t="shared" si="13"/>
        <v>0.21568433709865006</v>
      </c>
      <c r="T45" s="2">
        <v>5.0499999999999996E-2</v>
      </c>
      <c r="U45" s="2">
        <v>3.2500000000000001E-2</v>
      </c>
      <c r="V45" s="3">
        <f t="shared" si="14"/>
        <v>9.1700605809633511E-3</v>
      </c>
      <c r="W45">
        <v>3</v>
      </c>
      <c r="X45">
        <f t="shared" si="5"/>
        <v>1.0986122886681098</v>
      </c>
    </row>
    <row r="46" spans="1:24" x14ac:dyDescent="0.45">
      <c r="A46" t="s">
        <v>5</v>
      </c>
      <c r="B46">
        <v>3</v>
      </c>
      <c r="C46">
        <v>2024</v>
      </c>
      <c r="D46">
        <v>165486693</v>
      </c>
      <c r="E46">
        <v>11782450</v>
      </c>
      <c r="F46">
        <v>1011255</v>
      </c>
      <c r="G46">
        <v>339753</v>
      </c>
      <c r="H46">
        <v>3660963</v>
      </c>
      <c r="I46">
        <v>1359161</v>
      </c>
      <c r="J46">
        <v>109552804</v>
      </c>
      <c r="K46">
        <v>3.0966938195511502</v>
      </c>
      <c r="L46">
        <v>27.889422983664101</v>
      </c>
      <c r="M46">
        <v>27.243425052219401</v>
      </c>
      <c r="N46" s="2">
        <f t="shared" si="9"/>
        <v>3.8947197147280286</v>
      </c>
      <c r="P46" s="2">
        <f t="shared" si="10"/>
        <v>18.924401344714912</v>
      </c>
      <c r="Q46" s="2">
        <f t="shared" si="11"/>
        <v>6.1107934521357557E-3</v>
      </c>
      <c r="R46" s="2">
        <f t="shared" si="12"/>
        <v>7.1198776085277138E-2</v>
      </c>
      <c r="S46" s="2">
        <f t="shared" si="13"/>
        <v>9.2804270351817264E-2</v>
      </c>
      <c r="T46" s="2">
        <v>7.0900000000000005E-2</v>
      </c>
      <c r="U46" s="2">
        <v>3.6299999999999999E-2</v>
      </c>
      <c r="V46" s="3">
        <f t="shared" si="14"/>
        <v>1.2406446484016967E-2</v>
      </c>
      <c r="W46">
        <v>11</v>
      </c>
      <c r="X46">
        <f t="shared" si="5"/>
        <v>2.3978952727983707</v>
      </c>
    </row>
    <row r="47" spans="1:24" x14ac:dyDescent="0.45">
      <c r="A47" t="s">
        <v>6</v>
      </c>
      <c r="B47">
        <v>4</v>
      </c>
      <c r="C47">
        <v>2010</v>
      </c>
      <c r="D47">
        <v>366267769</v>
      </c>
      <c r="E47">
        <v>24369157</v>
      </c>
      <c r="F47">
        <v>3760715</v>
      </c>
      <c r="G47">
        <v>2296413</v>
      </c>
      <c r="H47">
        <v>11487799</v>
      </c>
      <c r="J47">
        <v>254191575</v>
      </c>
      <c r="K47">
        <v>3.2718982631890698</v>
      </c>
      <c r="L47">
        <v>9.7075901186610398</v>
      </c>
      <c r="M47">
        <v>17.334389639963199</v>
      </c>
      <c r="N47" s="2">
        <f t="shared" ref="N47:N61" si="15">LN((Q47+R47)/(_xlfn.STDEV.S($Q$47:$Q$61)))</f>
        <v>3.8142816046609687</v>
      </c>
      <c r="O47" s="2">
        <v>0.77859999999999996</v>
      </c>
      <c r="P47" s="2">
        <f t="shared" si="10"/>
        <v>19.718875233159643</v>
      </c>
      <c r="Q47" s="2">
        <f t="shared" si="11"/>
        <v>1.026766567603714E-2</v>
      </c>
      <c r="R47" s="2">
        <f t="shared" si="12"/>
        <v>6.6533719487613441E-2</v>
      </c>
      <c r="S47" s="2">
        <f t="shared" si="13"/>
        <v>0.1999001723480712</v>
      </c>
      <c r="T47" s="2">
        <v>6.4232448223948205E-2</v>
      </c>
      <c r="U47" s="2">
        <v>9.20746648778413E-2</v>
      </c>
      <c r="W47">
        <v>14</v>
      </c>
      <c r="X47">
        <f t="shared" si="5"/>
        <v>2.6390573296152584</v>
      </c>
    </row>
    <row r="48" spans="1:24" x14ac:dyDescent="0.45">
      <c r="A48" t="s">
        <v>6</v>
      </c>
      <c r="B48">
        <v>4</v>
      </c>
      <c r="C48">
        <v>2011</v>
      </c>
      <c r="D48">
        <v>405755454</v>
      </c>
      <c r="E48">
        <v>24597419</v>
      </c>
      <c r="F48">
        <v>3199608</v>
      </c>
      <c r="G48">
        <v>2775522</v>
      </c>
      <c r="H48">
        <v>15414478</v>
      </c>
      <c r="I48">
        <v>8122689</v>
      </c>
      <c r="J48">
        <v>293937120</v>
      </c>
      <c r="K48">
        <v>3.59352181546691</v>
      </c>
      <c r="L48">
        <v>10.9472107468528</v>
      </c>
      <c r="M48">
        <v>19.912794817213701</v>
      </c>
      <c r="N48" s="2">
        <f t="shared" si="15"/>
        <v>3.6999926321200367</v>
      </c>
      <c r="O48" s="2">
        <v>0.76070000000000004</v>
      </c>
      <c r="P48" s="2">
        <f t="shared" si="10"/>
        <v>19.821261206043125</v>
      </c>
      <c r="Q48" s="2">
        <f t="shared" si="11"/>
        <v>7.8855575900650746E-3</v>
      </c>
      <c r="R48" s="2">
        <f t="shared" si="12"/>
        <v>6.0621289886592628E-2</v>
      </c>
      <c r="S48" s="2">
        <f t="shared" si="13"/>
        <v>0.18005942205762659</v>
      </c>
      <c r="T48" s="2">
        <v>6.4131688968168274E-2</v>
      </c>
      <c r="U48" s="2">
        <v>0.18677732277070699</v>
      </c>
      <c r="V48" s="3">
        <f t="shared" ref="V48:V61" si="16">I48/J48</f>
        <v>2.7634104192080265E-2</v>
      </c>
      <c r="W48">
        <v>12</v>
      </c>
      <c r="X48">
        <f t="shared" si="5"/>
        <v>2.4849066497880004</v>
      </c>
    </row>
    <row r="49" spans="1:24" x14ac:dyDescent="0.45">
      <c r="A49" t="s">
        <v>6</v>
      </c>
      <c r="B49">
        <v>4</v>
      </c>
      <c r="C49">
        <v>2012</v>
      </c>
      <c r="D49">
        <v>484784560</v>
      </c>
      <c r="E49">
        <v>26703432</v>
      </c>
      <c r="F49">
        <v>2571943</v>
      </c>
      <c r="G49">
        <v>2276873</v>
      </c>
      <c r="H49">
        <v>11485085</v>
      </c>
      <c r="I49">
        <v>9160992</v>
      </c>
      <c r="J49">
        <v>339923668</v>
      </c>
      <c r="K49">
        <v>3.1504539182237998</v>
      </c>
      <c r="L49">
        <v>12.0614890394782</v>
      </c>
      <c r="M49">
        <v>20.9770541106558</v>
      </c>
      <c r="N49" s="2">
        <f t="shared" si="15"/>
        <v>3.5738563405701842</v>
      </c>
      <c r="O49" s="2">
        <v>0.80640000000000001</v>
      </c>
      <c r="P49" s="2">
        <f t="shared" si="10"/>
        <v>19.999215144027396</v>
      </c>
      <c r="Q49" s="2">
        <f t="shared" si="11"/>
        <v>5.3053319189868588E-3</v>
      </c>
      <c r="R49" s="2">
        <f t="shared" si="12"/>
        <v>5.5083090930123681E-2</v>
      </c>
      <c r="S49" s="2">
        <f t="shared" si="13"/>
        <v>0.1982460730591023</v>
      </c>
      <c r="T49" s="2">
        <v>5.5045447041188994E-2</v>
      </c>
      <c r="U49" s="2">
        <v>9.0947033955719195E-2</v>
      </c>
      <c r="V49" s="3">
        <f t="shared" si="16"/>
        <v>2.6950144583636346E-2</v>
      </c>
      <c r="W49">
        <v>20</v>
      </c>
      <c r="X49">
        <f t="shared" si="5"/>
        <v>2.9957322735539909</v>
      </c>
    </row>
    <row r="50" spans="1:24" x14ac:dyDescent="0.45">
      <c r="A50" t="s">
        <v>6</v>
      </c>
      <c r="B50">
        <v>4</v>
      </c>
      <c r="C50">
        <v>2013</v>
      </c>
      <c r="D50">
        <v>548386083</v>
      </c>
      <c r="E50">
        <v>32292565</v>
      </c>
      <c r="F50">
        <v>4051008</v>
      </c>
      <c r="G50">
        <v>5259175</v>
      </c>
      <c r="H50">
        <v>19209297</v>
      </c>
      <c r="I50">
        <v>8839367</v>
      </c>
      <c r="J50">
        <v>391035051</v>
      </c>
      <c r="K50">
        <v>3.6926464082046402</v>
      </c>
      <c r="L50">
        <v>12.840142796842899</v>
      </c>
      <c r="M50">
        <v>22.1573299611807</v>
      </c>
      <c r="N50" s="2">
        <f t="shared" si="15"/>
        <v>3.6668520173063608</v>
      </c>
      <c r="O50" s="2">
        <v>0.79310000000000003</v>
      </c>
      <c r="P50" s="2">
        <f t="shared" si="10"/>
        <v>20.122490127868712</v>
      </c>
      <c r="Q50" s="2">
        <f t="shared" si="11"/>
        <v>7.3871458915196432E-3</v>
      </c>
      <c r="R50" s="2">
        <f t="shared" si="12"/>
        <v>5.8886550919272689E-2</v>
      </c>
      <c r="S50" s="2">
        <f t="shared" si="13"/>
        <v>0.27378279382113774</v>
      </c>
      <c r="T50" s="2">
        <v>5.5535108102607179E-2</v>
      </c>
      <c r="U50" s="2">
        <v>6.5926747589919191E-2</v>
      </c>
      <c r="V50" s="3">
        <f t="shared" si="16"/>
        <v>2.2605050307881479E-2</v>
      </c>
      <c r="W50">
        <v>8</v>
      </c>
      <c r="X50">
        <f t="shared" si="5"/>
        <v>2.0794415416798357</v>
      </c>
    </row>
    <row r="51" spans="1:24" x14ac:dyDescent="0.45">
      <c r="A51" t="s">
        <v>6</v>
      </c>
      <c r="B51">
        <v>4</v>
      </c>
      <c r="C51">
        <v>2014</v>
      </c>
      <c r="D51">
        <v>650340373</v>
      </c>
      <c r="E51">
        <v>33606199</v>
      </c>
      <c r="F51">
        <v>4985667</v>
      </c>
      <c r="G51">
        <v>5062362</v>
      </c>
      <c r="H51">
        <v>21906624</v>
      </c>
      <c r="I51">
        <v>9056833</v>
      </c>
      <c r="J51">
        <v>445693100</v>
      </c>
      <c r="K51">
        <v>3.8792484082456702</v>
      </c>
      <c r="L51">
        <v>14.6258764318214</v>
      </c>
      <c r="M51">
        <v>22.979955992336901</v>
      </c>
      <c r="N51" s="2">
        <f t="shared" si="15"/>
        <v>3.5563598599418675</v>
      </c>
      <c r="O51" s="2">
        <v>0.79830000000000001</v>
      </c>
      <c r="P51" s="2">
        <f t="shared" si="10"/>
        <v>20.293006434565967</v>
      </c>
      <c r="Q51" s="2">
        <f t="shared" si="11"/>
        <v>7.6662424893002915E-3</v>
      </c>
      <c r="R51" s="2">
        <f t="shared" si="12"/>
        <v>5.1674785074430553E-2</v>
      </c>
      <c r="S51" s="2">
        <f t="shared" si="13"/>
        <v>0.2310881859295161</v>
      </c>
      <c r="T51" s="2">
        <v>6.4222431211856723E-2</v>
      </c>
      <c r="U51" s="2">
        <v>4.0845544663761703E-2</v>
      </c>
      <c r="V51" s="3">
        <f t="shared" si="16"/>
        <v>2.0320783516729338E-2</v>
      </c>
      <c r="W51">
        <v>11</v>
      </c>
      <c r="X51">
        <f t="shared" si="5"/>
        <v>2.3978952727983707</v>
      </c>
    </row>
    <row r="52" spans="1:24" x14ac:dyDescent="0.45">
      <c r="A52" t="s">
        <v>6</v>
      </c>
      <c r="B52">
        <v>4</v>
      </c>
      <c r="C52">
        <v>2015</v>
      </c>
      <c r="D52">
        <v>850669649</v>
      </c>
      <c r="E52">
        <v>42335460</v>
      </c>
      <c r="F52">
        <v>6376756</v>
      </c>
      <c r="G52">
        <v>5397195</v>
      </c>
      <c r="H52">
        <v>24712164</v>
      </c>
      <c r="I52">
        <v>10053680</v>
      </c>
      <c r="J52">
        <v>598434475</v>
      </c>
      <c r="K52">
        <v>3.7957611751290998</v>
      </c>
      <c r="L52">
        <v>15.8219673058815</v>
      </c>
      <c r="M52">
        <v>24.006275960852001</v>
      </c>
      <c r="N52" s="2">
        <f t="shared" si="15"/>
        <v>3.5207201865210185</v>
      </c>
      <c r="O52" s="2">
        <v>0.81140000000000001</v>
      </c>
      <c r="P52" s="2">
        <f t="shared" si="10"/>
        <v>20.561534419632441</v>
      </c>
      <c r="Q52" s="2">
        <f t="shared" si="11"/>
        <v>7.4961602397548332E-3</v>
      </c>
      <c r="R52" s="2">
        <f t="shared" si="12"/>
        <v>4.9767215804357445E-2</v>
      </c>
      <c r="S52" s="2">
        <f t="shared" si="13"/>
        <v>0.21840236249646125</v>
      </c>
      <c r="T52" s="2">
        <v>6.9871543059861096E-2</v>
      </c>
      <c r="U52" s="2">
        <v>6.3120090517575396E-3</v>
      </c>
      <c r="V52" s="3">
        <f t="shared" si="16"/>
        <v>1.6799967949707444E-2</v>
      </c>
      <c r="W52">
        <v>24</v>
      </c>
      <c r="X52">
        <f t="shared" si="5"/>
        <v>3.1780538303479458</v>
      </c>
    </row>
    <row r="53" spans="1:24" x14ac:dyDescent="0.45">
      <c r="A53" t="s">
        <v>6</v>
      </c>
      <c r="B53">
        <v>4</v>
      </c>
      <c r="C53">
        <v>2016</v>
      </c>
      <c r="D53">
        <v>1006377748</v>
      </c>
      <c r="E53">
        <v>44112076</v>
      </c>
      <c r="F53">
        <v>6193545</v>
      </c>
      <c r="G53">
        <v>7002711</v>
      </c>
      <c r="H53">
        <v>30396324</v>
      </c>
      <c r="I53">
        <v>14428959</v>
      </c>
      <c r="J53">
        <v>723697408</v>
      </c>
      <c r="K53">
        <v>3.8729071718276198</v>
      </c>
      <c r="L53">
        <v>18.127194558590599</v>
      </c>
      <c r="M53">
        <v>24.4994330579914</v>
      </c>
      <c r="N53" s="2">
        <f t="shared" si="15"/>
        <v>3.3848182528233672</v>
      </c>
      <c r="O53" s="2">
        <v>0.56010000000000004</v>
      </c>
      <c r="P53" s="2">
        <f t="shared" si="10"/>
        <v>20.729623333173162</v>
      </c>
      <c r="Q53" s="2">
        <f t="shared" si="11"/>
        <v>6.1542944608111508E-3</v>
      </c>
      <c r="R53" s="2">
        <f t="shared" si="12"/>
        <v>4.3832523212744959E-2</v>
      </c>
      <c r="S53" s="2">
        <f t="shared" si="13"/>
        <v>0.23038019334180015</v>
      </c>
      <c r="T53" s="2">
        <v>6.6900089266042351E-2</v>
      </c>
      <c r="U53" s="2">
        <v>2.6682481696908199E-2</v>
      </c>
      <c r="V53" s="3">
        <f t="shared" si="16"/>
        <v>1.9937834294412728E-2</v>
      </c>
      <c r="W53">
        <v>41</v>
      </c>
      <c r="X53">
        <f t="shared" si="5"/>
        <v>3.713572066704308</v>
      </c>
    </row>
    <row r="54" spans="1:24" x14ac:dyDescent="0.45">
      <c r="A54" t="s">
        <v>6</v>
      </c>
      <c r="B54">
        <v>4</v>
      </c>
      <c r="C54">
        <v>2017</v>
      </c>
      <c r="D54">
        <v>1202283843</v>
      </c>
      <c r="E54">
        <v>48834010</v>
      </c>
      <c r="F54">
        <v>6945586</v>
      </c>
      <c r="G54">
        <v>8061389</v>
      </c>
      <c r="H54">
        <v>39016720</v>
      </c>
      <c r="I54">
        <v>14064106</v>
      </c>
      <c r="J54">
        <v>866885307</v>
      </c>
      <c r="K54">
        <v>3.4878659520670099</v>
      </c>
      <c r="L54">
        <v>19.9794949903735</v>
      </c>
      <c r="M54">
        <v>24.408110955118602</v>
      </c>
      <c r="N54" s="2">
        <f t="shared" si="15"/>
        <v>3.3102441176200208</v>
      </c>
      <c r="O54" s="2">
        <v>0.77569999999999995</v>
      </c>
      <c r="P54" s="2">
        <f t="shared" si="10"/>
        <v>20.907488787445125</v>
      </c>
      <c r="Q54" s="2">
        <f t="shared" si="11"/>
        <v>5.7769935447764308E-3</v>
      </c>
      <c r="R54" s="2">
        <f t="shared" si="12"/>
        <v>4.0617704616363208E-2</v>
      </c>
      <c r="S54" s="2">
        <f>G54/H54</f>
        <v>0.20661370304833415</v>
      </c>
      <c r="T54" s="2">
        <v>6.9401903735920603E-2</v>
      </c>
      <c r="U54" s="2">
        <v>3.5202568881161703E-2</v>
      </c>
      <c r="V54" s="3">
        <f t="shared" si="16"/>
        <v>1.6223721738543667E-2</v>
      </c>
      <c r="W54">
        <v>44</v>
      </c>
      <c r="X54">
        <f t="shared" si="5"/>
        <v>3.784189633918261</v>
      </c>
    </row>
    <row r="55" spans="1:24" x14ac:dyDescent="0.45">
      <c r="A55" t="s">
        <v>6</v>
      </c>
      <c r="B55">
        <v>4</v>
      </c>
      <c r="C55">
        <v>2018</v>
      </c>
      <c r="D55">
        <v>1313037674</v>
      </c>
      <c r="E55">
        <v>54551462</v>
      </c>
      <c r="F55">
        <v>7541833</v>
      </c>
      <c r="G55">
        <v>9527198</v>
      </c>
      <c r="H55">
        <v>44483062</v>
      </c>
      <c r="I55">
        <v>18802415</v>
      </c>
      <c r="J55">
        <v>988738780</v>
      </c>
      <c r="K55">
        <v>3.9598095587873798</v>
      </c>
      <c r="L55">
        <v>20.511087535654799</v>
      </c>
      <c r="M55">
        <v>25.6092485278987</v>
      </c>
      <c r="N55" s="2">
        <f t="shared" si="15"/>
        <v>3.3293536528022778</v>
      </c>
      <c r="O55" s="2">
        <v>0.76390000000000002</v>
      </c>
      <c r="P55" s="2">
        <f t="shared" si="10"/>
        <v>20.995609124924741</v>
      </c>
      <c r="Q55" s="2">
        <f t="shared" si="11"/>
        <v>5.7438054896207036E-3</v>
      </c>
      <c r="R55" s="2">
        <f t="shared" si="12"/>
        <v>4.1545999083039256E-2</v>
      </c>
      <c r="S55" s="2">
        <f t="shared" si="13"/>
        <v>0.21417585866728328</v>
      </c>
      <c r="T55" s="2">
        <v>7.4650068557275087E-2</v>
      </c>
      <c r="U55" s="2">
        <v>3.5396280594264098E-2</v>
      </c>
      <c r="V55" s="3">
        <f t="shared" si="16"/>
        <v>1.9016564718944268E-2</v>
      </c>
      <c r="W55">
        <v>46</v>
      </c>
      <c r="X55">
        <f t="shared" si="5"/>
        <v>3.8286413964890951</v>
      </c>
    </row>
    <row r="56" spans="1:24" x14ac:dyDescent="0.45">
      <c r="A56" t="s">
        <v>6</v>
      </c>
      <c r="B56">
        <v>4</v>
      </c>
      <c r="C56">
        <v>2019</v>
      </c>
      <c r="D56">
        <v>1489957293</v>
      </c>
      <c r="E56">
        <v>77652981</v>
      </c>
      <c r="F56">
        <v>8547757</v>
      </c>
      <c r="G56">
        <v>12143432</v>
      </c>
      <c r="H56">
        <v>48121240</v>
      </c>
      <c r="I56">
        <v>19496406</v>
      </c>
      <c r="J56">
        <v>1116997985</v>
      </c>
      <c r="K56">
        <v>4.0230286341449499</v>
      </c>
      <c r="L56">
        <v>21.918245362198</v>
      </c>
      <c r="M56">
        <v>26.1660509841828</v>
      </c>
      <c r="N56" s="2">
        <f t="shared" si="15"/>
        <v>3.5309902106723863</v>
      </c>
      <c r="O56" s="2">
        <v>0.75649999999999995</v>
      </c>
      <c r="P56" s="2">
        <f t="shared" si="10"/>
        <v>21.122013294076897</v>
      </c>
      <c r="Q56" s="2">
        <f t="shared" si="11"/>
        <v>5.7369140982485864E-3</v>
      </c>
      <c r="R56" s="2">
        <f t="shared" si="12"/>
        <v>5.2117588446879061E-2</v>
      </c>
      <c r="S56" s="2">
        <f t="shared" si="13"/>
        <v>0.25235077067839484</v>
      </c>
      <c r="T56" s="2">
        <v>7.3592627010500566E-2</v>
      </c>
      <c r="U56" s="2">
        <v>2.7958236745225001E-2</v>
      </c>
      <c r="V56" s="3">
        <f t="shared" si="16"/>
        <v>1.7454289319957905E-2</v>
      </c>
      <c r="W56">
        <v>97</v>
      </c>
      <c r="X56">
        <f t="shared" si="5"/>
        <v>4.5747109785033828</v>
      </c>
    </row>
    <row r="57" spans="1:24" x14ac:dyDescent="0.45">
      <c r="A57" t="s">
        <v>6</v>
      </c>
      <c r="B57">
        <v>4</v>
      </c>
      <c r="C57">
        <v>2020</v>
      </c>
      <c r="D57">
        <v>1516685712</v>
      </c>
      <c r="E57">
        <v>79646612</v>
      </c>
      <c r="F57">
        <v>7223565</v>
      </c>
      <c r="G57">
        <v>14240345</v>
      </c>
      <c r="H57">
        <v>50037144</v>
      </c>
      <c r="I57">
        <v>21369418</v>
      </c>
      <c r="J57">
        <v>1214295916</v>
      </c>
      <c r="K57">
        <v>4.0399838659549498</v>
      </c>
      <c r="L57">
        <v>23.747196863397502</v>
      </c>
      <c r="M57">
        <v>26.4783455246633</v>
      </c>
      <c r="N57" s="2">
        <f>LN((Q57+R57)/(_xlfn.STDEV.S($Q$47:$Q$61)))</f>
        <v>3.5209462129035045</v>
      </c>
      <c r="O57" s="2">
        <v>0.7762</v>
      </c>
      <c r="P57" s="2">
        <f t="shared" si="10"/>
        <v>21.139793338524957</v>
      </c>
      <c r="Q57" s="2">
        <f t="shared" si="11"/>
        <v>4.7627303025585569E-3</v>
      </c>
      <c r="R57" s="2">
        <f t="shared" si="12"/>
        <v>5.2513590238133658E-2</v>
      </c>
      <c r="S57" s="2">
        <f t="shared" si="13"/>
        <v>0.28459547971003302</v>
      </c>
      <c r="T57" s="2">
        <v>2.8654132091227212E-2</v>
      </c>
      <c r="U57" s="2">
        <v>3.2209343665251404E-2</v>
      </c>
      <c r="V57" s="3">
        <f t="shared" si="16"/>
        <v>1.7598196385599965E-2</v>
      </c>
      <c r="W57">
        <v>88</v>
      </c>
      <c r="X57">
        <f t="shared" si="5"/>
        <v>4.4773368144782069</v>
      </c>
    </row>
    <row r="58" spans="1:24" x14ac:dyDescent="0.45">
      <c r="A58" t="s">
        <v>6</v>
      </c>
      <c r="B58">
        <v>4</v>
      </c>
      <c r="C58">
        <v>2021</v>
      </c>
      <c r="D58">
        <v>1761695792</v>
      </c>
      <c r="E58">
        <v>86329026</v>
      </c>
      <c r="F58">
        <v>10841271</v>
      </c>
      <c r="G58">
        <v>15670581</v>
      </c>
      <c r="H58">
        <v>62493889</v>
      </c>
      <c r="I58">
        <v>13546316</v>
      </c>
      <c r="J58">
        <v>1354632643</v>
      </c>
      <c r="K58">
        <v>2.9295233226858799</v>
      </c>
      <c r="L58">
        <v>25.554737309897</v>
      </c>
      <c r="M58">
        <v>27.207097804316199</v>
      </c>
      <c r="N58" s="2">
        <f t="shared" si="15"/>
        <v>3.4832471436843648</v>
      </c>
      <c r="P58" s="2">
        <f t="shared" si="10"/>
        <v>21.289542700292596</v>
      </c>
      <c r="Q58" s="2">
        <f t="shared" si="11"/>
        <v>6.1538836893583271E-3</v>
      </c>
      <c r="R58" s="2">
        <f t="shared" si="12"/>
        <v>4.9003367319163126E-2</v>
      </c>
      <c r="S58" s="2">
        <f t="shared" si="13"/>
        <v>0.25075381370488881</v>
      </c>
      <c r="T58" s="2">
        <v>2.5615641067098523E-2</v>
      </c>
      <c r="U58" s="2">
        <v>1.8347155481044399E-2</v>
      </c>
      <c r="V58" s="3">
        <f t="shared" si="16"/>
        <v>9.9999923004955964E-3</v>
      </c>
      <c r="W58">
        <v>109</v>
      </c>
      <c r="X58">
        <f t="shared" si="5"/>
        <v>4.6913478822291435</v>
      </c>
    </row>
    <row r="59" spans="1:24" x14ac:dyDescent="0.45">
      <c r="A59" t="s">
        <v>6</v>
      </c>
      <c r="B59">
        <v>4</v>
      </c>
      <c r="C59">
        <v>2022</v>
      </c>
      <c r="D59">
        <v>2120676711</v>
      </c>
      <c r="E59">
        <v>104117748</v>
      </c>
      <c r="F59">
        <v>18347767</v>
      </c>
      <c r="G59">
        <v>13519881</v>
      </c>
      <c r="H59">
        <v>69479579</v>
      </c>
      <c r="I59">
        <v>17622432</v>
      </c>
      <c r="J59">
        <v>1522221714</v>
      </c>
      <c r="K59">
        <v>3.0268176838110499</v>
      </c>
      <c r="L59">
        <v>19.886983507523201</v>
      </c>
      <c r="M59">
        <v>27.746488205671799</v>
      </c>
      <c r="N59" s="2">
        <f t="shared" si="15"/>
        <v>3.5291531677829471</v>
      </c>
      <c r="O59" s="2">
        <v>0.69899999999999995</v>
      </c>
      <c r="P59" s="2">
        <f t="shared" si="10"/>
        <v>21.475001077997685</v>
      </c>
      <c r="Q59" s="2">
        <f t="shared" si="11"/>
        <v>8.6518453778596707E-3</v>
      </c>
      <c r="R59" s="2">
        <f t="shared" si="12"/>
        <v>4.9096473526558194E-2</v>
      </c>
      <c r="S59" s="2">
        <f t="shared" si="13"/>
        <v>0.1945878370967101</v>
      </c>
      <c r="T59" s="2">
        <v>8.0197923744283764E-2</v>
      </c>
      <c r="U59" s="2">
        <v>3.1565074996312899E-2</v>
      </c>
      <c r="V59" s="3">
        <f t="shared" si="16"/>
        <v>1.1576784011110224E-2</v>
      </c>
      <c r="W59">
        <v>68</v>
      </c>
      <c r="X59">
        <f t="shared" si="5"/>
        <v>4.219507705176107</v>
      </c>
    </row>
    <row r="60" spans="1:24" x14ac:dyDescent="0.45">
      <c r="A60" t="s">
        <v>6</v>
      </c>
      <c r="B60">
        <v>4</v>
      </c>
      <c r="C60">
        <v>2023</v>
      </c>
      <c r="D60">
        <v>2300868728</v>
      </c>
      <c r="E60">
        <v>122866889</v>
      </c>
      <c r="F60">
        <v>21977141</v>
      </c>
      <c r="G60">
        <v>16877451</v>
      </c>
      <c r="H60">
        <v>73013017</v>
      </c>
      <c r="I60">
        <v>22367914</v>
      </c>
      <c r="J60">
        <v>1777664882</v>
      </c>
      <c r="K60">
        <v>3.07187771218757</v>
      </c>
      <c r="L60">
        <v>19.004474740999601</v>
      </c>
      <c r="M60">
        <v>27.341668248477099</v>
      </c>
      <c r="N60" s="2">
        <f t="shared" si="15"/>
        <v>3.6154296775533528</v>
      </c>
      <c r="P60" s="2">
        <f t="shared" si="10"/>
        <v>21.556552596393956</v>
      </c>
      <c r="Q60" s="2">
        <f t="shared" si="11"/>
        <v>9.5516709547803468E-3</v>
      </c>
      <c r="R60" s="2">
        <f t="shared" si="12"/>
        <v>5.3400216841923198E-2</v>
      </c>
      <c r="S60" s="2">
        <f t="shared" si="13"/>
        <v>0.23115674017415277</v>
      </c>
      <c r="T60" s="2">
        <v>5.0499999999999996E-2</v>
      </c>
      <c r="U60" s="2">
        <v>3.2500000000000001E-2</v>
      </c>
      <c r="V60" s="3">
        <f t="shared" si="16"/>
        <v>1.2582750678426239E-2</v>
      </c>
      <c r="W60">
        <v>60</v>
      </c>
      <c r="X60">
        <f t="shared" si="5"/>
        <v>4.0943445622221004</v>
      </c>
    </row>
    <row r="61" spans="1:24" x14ac:dyDescent="0.45">
      <c r="A61" t="s">
        <v>6</v>
      </c>
      <c r="B61">
        <v>4</v>
      </c>
      <c r="C61">
        <v>2024</v>
      </c>
      <c r="D61">
        <v>2760791854</v>
      </c>
      <c r="E61">
        <v>144911113</v>
      </c>
      <c r="F61">
        <v>25604037</v>
      </c>
      <c r="G61" s="4">
        <v>23053290</v>
      </c>
      <c r="H61">
        <v>81060866</v>
      </c>
      <c r="I61">
        <v>29035583</v>
      </c>
      <c r="J61">
        <v>2056082420</v>
      </c>
      <c r="K61">
        <v>3.0966938195511502</v>
      </c>
      <c r="L61">
        <v>27.889422983664101</v>
      </c>
      <c r="M61">
        <v>27.243425052219401</v>
      </c>
      <c r="N61" s="2">
        <f t="shared" si="15"/>
        <v>3.5963655355627515</v>
      </c>
      <c r="P61" s="2">
        <f t="shared" si="10"/>
        <v>21.738783379149684</v>
      </c>
      <c r="Q61" s="2">
        <f t="shared" si="11"/>
        <v>9.2741642086864844E-3</v>
      </c>
      <c r="R61" s="2">
        <f t="shared" si="12"/>
        <v>5.2488967174415604E-2</v>
      </c>
      <c r="S61" s="2">
        <f t="shared" si="13"/>
        <v>0.28439481512571058</v>
      </c>
      <c r="T61" s="2">
        <v>7.0900000000000005E-2</v>
      </c>
      <c r="U61" s="2">
        <v>3.6299999999999999E-2</v>
      </c>
      <c r="V61" s="3">
        <f t="shared" si="16"/>
        <v>1.4121799164062693E-2</v>
      </c>
      <c r="W61">
        <v>93</v>
      </c>
      <c r="X61">
        <f t="shared" si="5"/>
        <v>4.5325994931532563</v>
      </c>
    </row>
    <row r="62" spans="1:24" x14ac:dyDescent="0.45">
      <c r="A62" t="s">
        <v>7</v>
      </c>
      <c r="B62">
        <v>5</v>
      </c>
      <c r="C62">
        <v>2010</v>
      </c>
      <c r="D62">
        <v>8225404</v>
      </c>
      <c r="E62">
        <v>2078311</v>
      </c>
      <c r="F62">
        <v>56538</v>
      </c>
      <c r="G62">
        <v>11519</v>
      </c>
      <c r="H62">
        <v>202533</v>
      </c>
      <c r="J62">
        <v>3662841</v>
      </c>
      <c r="K62">
        <v>3.2718982631890698</v>
      </c>
      <c r="L62">
        <v>9.7075901186610398</v>
      </c>
      <c r="M62">
        <v>17.334389639963199</v>
      </c>
      <c r="N62" s="2">
        <f t="shared" ref="N62:N76" si="17">LN((Q62+R62)/(_xlfn.STDEV.S($Q$62:$Q$76)))</f>
        <v>4.1382119273528577</v>
      </c>
      <c r="O62" s="2">
        <v>0.44769999999999999</v>
      </c>
      <c r="P62" s="2">
        <f t="shared" si="10"/>
        <v>15.922737971950466</v>
      </c>
      <c r="Q62" s="2">
        <f t="shared" si="11"/>
        <v>6.873583352258442E-3</v>
      </c>
      <c r="R62" s="2">
        <f t="shared" si="12"/>
        <v>0.25266977767900517</v>
      </c>
      <c r="S62" s="2">
        <f t="shared" si="13"/>
        <v>5.687468215056312E-2</v>
      </c>
      <c r="T62" s="2">
        <v>6.4232448223948205E-2</v>
      </c>
      <c r="U62" s="2">
        <v>9.20746648778413E-2</v>
      </c>
      <c r="W62">
        <v>0</v>
      </c>
      <c r="X62" t="e">
        <f t="shared" si="5"/>
        <v>#NUM!</v>
      </c>
    </row>
    <row r="63" spans="1:24" x14ac:dyDescent="0.45">
      <c r="A63" t="s">
        <v>7</v>
      </c>
      <c r="B63">
        <v>5</v>
      </c>
      <c r="C63">
        <v>2011</v>
      </c>
      <c r="D63">
        <v>16968239</v>
      </c>
      <c r="E63">
        <v>3300615</v>
      </c>
      <c r="F63">
        <v>269933</v>
      </c>
      <c r="G63">
        <v>156716</v>
      </c>
      <c r="H63">
        <v>578913</v>
      </c>
      <c r="I63">
        <v>118340</v>
      </c>
      <c r="J63">
        <v>4380300</v>
      </c>
      <c r="K63">
        <v>3.59352181546691</v>
      </c>
      <c r="L63">
        <v>10.9472107468528</v>
      </c>
      <c r="M63">
        <v>19.912794817213701</v>
      </c>
      <c r="N63" s="2">
        <f t="shared" si="17"/>
        <v>3.9284192060666645</v>
      </c>
      <c r="P63" s="2">
        <f t="shared" si="10"/>
        <v>16.646853860464564</v>
      </c>
      <c r="Q63" s="2">
        <f t="shared" si="11"/>
        <v>1.590813283570558E-2</v>
      </c>
      <c r="R63" s="2">
        <f t="shared" si="12"/>
        <v>0.19451723894270936</v>
      </c>
      <c r="S63" s="2">
        <f t="shared" si="13"/>
        <v>0.27070734289953757</v>
      </c>
      <c r="T63" s="2">
        <v>6.4131688968168274E-2</v>
      </c>
      <c r="U63" s="2">
        <v>0.18677732277070699</v>
      </c>
      <c r="V63" s="3">
        <f>I63/J63</f>
        <v>2.7016414400840124E-2</v>
      </c>
      <c r="W63">
        <v>0</v>
      </c>
      <c r="X63" t="e">
        <f t="shared" si="5"/>
        <v>#NUM!</v>
      </c>
    </row>
    <row r="64" spans="1:24" x14ac:dyDescent="0.45">
      <c r="A64" t="s">
        <v>7</v>
      </c>
      <c r="B64">
        <v>5</v>
      </c>
      <c r="C64">
        <v>2012</v>
      </c>
      <c r="D64">
        <v>20670415</v>
      </c>
      <c r="E64">
        <v>3265487</v>
      </c>
      <c r="F64">
        <v>204178</v>
      </c>
      <c r="G64">
        <v>198306</v>
      </c>
      <c r="H64">
        <v>667634</v>
      </c>
      <c r="J64">
        <v>7781837</v>
      </c>
      <c r="K64">
        <v>3.1504539182237998</v>
      </c>
      <c r="L64">
        <v>12.0614890394782</v>
      </c>
      <c r="M64">
        <v>20.9770541106558</v>
      </c>
      <c r="N64" s="2">
        <f t="shared" si="17"/>
        <v>3.7023980197675481</v>
      </c>
      <c r="O64" s="2">
        <v>0.40189999999999998</v>
      </c>
      <c r="P64" s="2">
        <f t="shared" si="10"/>
        <v>16.844214008863272</v>
      </c>
      <c r="Q64" s="2">
        <f t="shared" si="11"/>
        <v>9.8777891009928925E-3</v>
      </c>
      <c r="R64" s="2">
        <f t="shared" si="12"/>
        <v>0.15797878271916649</v>
      </c>
      <c r="S64" s="2">
        <f t="shared" si="13"/>
        <v>0.29702801235407422</v>
      </c>
      <c r="T64" s="2">
        <v>5.5045447041188994E-2</v>
      </c>
      <c r="U64" s="2">
        <v>9.0947033955719195E-2</v>
      </c>
      <c r="W64">
        <v>24</v>
      </c>
      <c r="X64">
        <f t="shared" si="5"/>
        <v>3.1780538303479458</v>
      </c>
    </row>
    <row r="65" spans="1:24" x14ac:dyDescent="0.45">
      <c r="A65" t="s">
        <v>7</v>
      </c>
      <c r="B65">
        <v>5</v>
      </c>
      <c r="C65">
        <v>2013</v>
      </c>
      <c r="D65">
        <v>23058608</v>
      </c>
      <c r="E65">
        <v>3218641</v>
      </c>
      <c r="F65">
        <v>103104</v>
      </c>
      <c r="G65">
        <v>117270</v>
      </c>
      <c r="H65">
        <v>592999</v>
      </c>
      <c r="I65">
        <v>412190</v>
      </c>
      <c r="J65">
        <v>10033509</v>
      </c>
      <c r="K65">
        <v>3.6926464082046402</v>
      </c>
      <c r="L65">
        <v>12.840142796842899</v>
      </c>
      <c r="M65">
        <v>22.1573299611807</v>
      </c>
      <c r="N65" s="2">
        <f t="shared" si="17"/>
        <v>3.5494945216606633</v>
      </c>
      <c r="P65" s="2">
        <f t="shared" ref="P65:P96" si="18">LN(D65)</f>
        <v>16.953549706716061</v>
      </c>
      <c r="Q65" s="2">
        <f t="shared" ref="Q65:Q96" si="19">F65/D65</f>
        <v>4.4713887325722353E-3</v>
      </c>
      <c r="R65" s="2">
        <f t="shared" ref="R65:R96" si="20">E65/D65</f>
        <v>0.13958522561292511</v>
      </c>
      <c r="S65" s="2">
        <f t="shared" ref="S65:S96" si="21">G65/H65</f>
        <v>0.19775750043423346</v>
      </c>
      <c r="T65" s="2">
        <v>5.5535108102607179E-2</v>
      </c>
      <c r="U65" s="2">
        <v>6.5926747589919191E-2</v>
      </c>
      <c r="V65" s="3">
        <f>I65/J65</f>
        <v>4.1081340535997928E-2</v>
      </c>
      <c r="W65">
        <v>32</v>
      </c>
      <c r="X65">
        <f t="shared" si="5"/>
        <v>3.4657359027997265</v>
      </c>
    </row>
    <row r="66" spans="1:24" x14ac:dyDescent="0.45">
      <c r="A66" t="s">
        <v>7</v>
      </c>
      <c r="B66">
        <v>5</v>
      </c>
      <c r="C66">
        <v>2014</v>
      </c>
      <c r="D66">
        <v>25782504</v>
      </c>
      <c r="E66">
        <v>3313144</v>
      </c>
      <c r="F66">
        <v>162110</v>
      </c>
      <c r="G66">
        <v>219772</v>
      </c>
      <c r="H66">
        <v>744425</v>
      </c>
      <c r="J66">
        <v>12989519</v>
      </c>
      <c r="K66">
        <v>3.8792484082456702</v>
      </c>
      <c r="L66">
        <v>14.6258764318214</v>
      </c>
      <c r="M66">
        <v>22.979955992336901</v>
      </c>
      <c r="N66" s="2">
        <f t="shared" si="17"/>
        <v>3.4830148706736463</v>
      </c>
      <c r="P66" s="2">
        <f t="shared" si="18"/>
        <v>17.065206680316344</v>
      </c>
      <c r="Q66" s="2">
        <f t="shared" si="19"/>
        <v>6.2875972015751453E-3</v>
      </c>
      <c r="R66" s="2">
        <f t="shared" si="20"/>
        <v>0.12850357746478</v>
      </c>
      <c r="S66" s="2">
        <f t="shared" si="21"/>
        <v>0.29522383047318401</v>
      </c>
      <c r="T66" s="2">
        <v>6.4222431211856723E-2</v>
      </c>
      <c r="U66" s="2">
        <v>4.0845544663761703E-2</v>
      </c>
      <c r="W66">
        <v>20</v>
      </c>
      <c r="X66">
        <f t="shared" si="5"/>
        <v>2.9957322735539909</v>
      </c>
    </row>
    <row r="67" spans="1:24" x14ac:dyDescent="0.45">
      <c r="A67" t="s">
        <v>7</v>
      </c>
      <c r="B67">
        <v>5</v>
      </c>
      <c r="C67">
        <v>2015</v>
      </c>
      <c r="D67">
        <v>29019129</v>
      </c>
      <c r="E67">
        <v>3313238</v>
      </c>
      <c r="F67">
        <v>53211</v>
      </c>
      <c r="G67">
        <v>125140</v>
      </c>
      <c r="H67">
        <v>562773</v>
      </c>
      <c r="I67">
        <v>159229</v>
      </c>
      <c r="J67">
        <v>15863224</v>
      </c>
      <c r="K67">
        <v>3.7957611751290998</v>
      </c>
      <c r="L67">
        <v>15.8219673058815</v>
      </c>
      <c r="M67">
        <v>24.006275960852001</v>
      </c>
      <c r="N67" s="2">
        <f t="shared" si="17"/>
        <v>3.3329466695565908</v>
      </c>
      <c r="P67" s="2">
        <f t="shared" si="18"/>
        <v>17.183465791186297</v>
      </c>
      <c r="Q67" s="2">
        <f t="shared" si="19"/>
        <v>1.8336525538033895E-3</v>
      </c>
      <c r="R67" s="2">
        <f t="shared" si="20"/>
        <v>0.11417427449321446</v>
      </c>
      <c r="S67" s="2">
        <f t="shared" si="21"/>
        <v>0.2223631908424889</v>
      </c>
      <c r="T67" s="2">
        <v>6.9871543059861096E-2</v>
      </c>
      <c r="U67" s="2">
        <v>6.3120090517575396E-3</v>
      </c>
      <c r="V67" s="3">
        <f>I67/J67</f>
        <v>1.0037619086763195E-2</v>
      </c>
      <c r="W67">
        <v>3</v>
      </c>
      <c r="X67">
        <f t="shared" ref="X67:X130" si="22">LN(W67)</f>
        <v>1.0986122886681098</v>
      </c>
    </row>
    <row r="68" spans="1:24" x14ac:dyDescent="0.45">
      <c r="A68" t="s">
        <v>7</v>
      </c>
      <c r="B68">
        <v>5</v>
      </c>
      <c r="C68">
        <v>2016</v>
      </c>
      <c r="D68">
        <v>32384847</v>
      </c>
      <c r="E68">
        <v>3310648</v>
      </c>
      <c r="F68">
        <v>2685</v>
      </c>
      <c r="G68">
        <v>135111</v>
      </c>
      <c r="H68">
        <v>684734</v>
      </c>
      <c r="I68">
        <v>266604</v>
      </c>
      <c r="J68">
        <v>20994294</v>
      </c>
      <c r="K68">
        <v>3.8729071718276198</v>
      </c>
      <c r="L68">
        <v>18.127194558590599</v>
      </c>
      <c r="M68">
        <v>24.4994330579914</v>
      </c>
      <c r="N68" s="2">
        <f t="shared" si="17"/>
        <v>3.2073074263374552</v>
      </c>
      <c r="O68" s="2">
        <v>0.43290000000000001</v>
      </c>
      <c r="P68" s="2">
        <f t="shared" si="18"/>
        <v>17.293201186178546</v>
      </c>
      <c r="Q68" s="2">
        <f t="shared" si="19"/>
        <v>8.2909145749553799E-5</v>
      </c>
      <c r="R68" s="2">
        <f t="shared" si="20"/>
        <v>0.10222830449067738</v>
      </c>
      <c r="S68" s="2">
        <f t="shared" si="21"/>
        <v>0.19731895889498696</v>
      </c>
      <c r="T68" s="2">
        <v>6.6900089266042351E-2</v>
      </c>
      <c r="U68" s="2">
        <v>2.6682481696908199E-2</v>
      </c>
      <c r="V68" s="3">
        <f>I68/J68</f>
        <v>1.2698879038275828E-2</v>
      </c>
      <c r="W68">
        <v>0</v>
      </c>
      <c r="X68" t="e">
        <f t="shared" si="22"/>
        <v>#NUM!</v>
      </c>
    </row>
    <row r="69" spans="1:24" x14ac:dyDescent="0.45">
      <c r="A69" t="s">
        <v>7</v>
      </c>
      <c r="B69">
        <v>5</v>
      </c>
      <c r="C69">
        <v>2017</v>
      </c>
      <c r="D69">
        <v>39900916</v>
      </c>
      <c r="E69">
        <v>3343722</v>
      </c>
      <c r="F69">
        <v>33532</v>
      </c>
      <c r="G69">
        <v>102836</v>
      </c>
      <c r="H69">
        <v>771719</v>
      </c>
      <c r="J69">
        <v>25031901</v>
      </c>
      <c r="K69">
        <v>3.4878659520670099</v>
      </c>
      <c r="L69">
        <v>19.9794949903735</v>
      </c>
      <c r="M69">
        <v>24.408110955118602</v>
      </c>
      <c r="N69" s="2">
        <f t="shared" si="17"/>
        <v>3.0177070953917364</v>
      </c>
      <c r="O69" s="2">
        <v>0.35249999999999998</v>
      </c>
      <c r="P69" s="2">
        <f t="shared" si="18"/>
        <v>17.501909838990059</v>
      </c>
      <c r="Q69" s="2">
        <f t="shared" si="19"/>
        <v>8.4038170953268344E-4</v>
      </c>
      <c r="R69" s="2">
        <f t="shared" si="20"/>
        <v>8.3800632546881887E-2</v>
      </c>
      <c r="S69" s="2">
        <f t="shared" si="21"/>
        <v>0.1332557576008884</v>
      </c>
      <c r="T69" s="2">
        <v>6.9401903735920603E-2</v>
      </c>
      <c r="U69" s="2">
        <v>3.5202568881161703E-2</v>
      </c>
      <c r="W69">
        <v>4</v>
      </c>
      <c r="X69">
        <f t="shared" si="22"/>
        <v>1.3862943611198906</v>
      </c>
    </row>
    <row r="70" spans="1:24" x14ac:dyDescent="0.45">
      <c r="A70" t="s">
        <v>7</v>
      </c>
      <c r="B70">
        <v>5</v>
      </c>
      <c r="C70">
        <v>2018</v>
      </c>
      <c r="D70">
        <v>46551614</v>
      </c>
      <c r="E70">
        <v>3437957</v>
      </c>
      <c r="F70">
        <v>94332</v>
      </c>
      <c r="G70">
        <v>142428</v>
      </c>
      <c r="H70">
        <v>942316</v>
      </c>
      <c r="J70">
        <v>29690468</v>
      </c>
      <c r="K70">
        <v>3.9598095587873798</v>
      </c>
      <c r="L70">
        <v>20.511087535654799</v>
      </c>
      <c r="M70">
        <v>25.6092485278987</v>
      </c>
      <c r="N70" s="2">
        <f t="shared" si="17"/>
        <v>2.9084278503616297</v>
      </c>
      <c r="O70" s="2">
        <v>0.45989999999999998</v>
      </c>
      <c r="P70" s="2">
        <f t="shared" si="18"/>
        <v>17.656072233481549</v>
      </c>
      <c r="Q70" s="2">
        <f t="shared" si="19"/>
        <v>2.02639590541372E-3</v>
      </c>
      <c r="R70" s="2">
        <f t="shared" si="20"/>
        <v>7.3852584359373669E-2</v>
      </c>
      <c r="S70" s="2">
        <f t="shared" si="21"/>
        <v>0.15114674907355918</v>
      </c>
      <c r="T70" s="2">
        <v>7.4650068557275087E-2</v>
      </c>
      <c r="U70" s="2">
        <v>3.5396280594264098E-2</v>
      </c>
      <c r="W70">
        <v>0</v>
      </c>
      <c r="X70" t="e">
        <f t="shared" si="22"/>
        <v>#NUM!</v>
      </c>
    </row>
    <row r="71" spans="1:24" x14ac:dyDescent="0.45">
      <c r="A71" t="s">
        <v>7</v>
      </c>
      <c r="B71">
        <v>5</v>
      </c>
      <c r="C71">
        <v>2019</v>
      </c>
      <c r="D71">
        <v>51808678</v>
      </c>
      <c r="E71">
        <v>3734974</v>
      </c>
      <c r="F71">
        <v>126056</v>
      </c>
      <c r="G71">
        <v>195370</v>
      </c>
      <c r="H71">
        <v>1127746</v>
      </c>
      <c r="I71">
        <v>852748</v>
      </c>
      <c r="J71">
        <v>33994686</v>
      </c>
      <c r="K71">
        <v>4.0230286341449499</v>
      </c>
      <c r="L71">
        <v>21.918245362198</v>
      </c>
      <c r="M71">
        <v>26.1660509841828</v>
      </c>
      <c r="N71" s="2">
        <f t="shared" si="17"/>
        <v>2.8904197462231056</v>
      </c>
      <c r="O71" s="2">
        <v>0.51190000000000002</v>
      </c>
      <c r="P71" s="2">
        <f t="shared" si="18"/>
        <v>17.76306822215583</v>
      </c>
      <c r="Q71" s="2">
        <f t="shared" si="19"/>
        <v>2.4331058978188944E-3</v>
      </c>
      <c r="R71" s="2">
        <f t="shared" si="20"/>
        <v>7.2091667731803546E-2</v>
      </c>
      <c r="S71" s="2">
        <f t="shared" si="21"/>
        <v>0.17323936418306959</v>
      </c>
      <c r="T71" s="2">
        <v>7.3592627010500566E-2</v>
      </c>
      <c r="U71" s="2">
        <v>2.7958236745225001E-2</v>
      </c>
      <c r="V71" s="3">
        <f t="shared" ref="V71:V102" si="23">I71/J71</f>
        <v>2.5084744127361554E-2</v>
      </c>
      <c r="W71">
        <v>4</v>
      </c>
      <c r="X71">
        <f t="shared" si="22"/>
        <v>1.3862943611198906</v>
      </c>
    </row>
    <row r="72" spans="1:24" x14ac:dyDescent="0.45">
      <c r="A72" t="s">
        <v>7</v>
      </c>
      <c r="B72">
        <v>5</v>
      </c>
      <c r="C72">
        <v>2020</v>
      </c>
      <c r="D72">
        <v>61101561</v>
      </c>
      <c r="E72">
        <v>3890353</v>
      </c>
      <c r="F72">
        <v>160856</v>
      </c>
      <c r="G72">
        <v>311176</v>
      </c>
      <c r="H72">
        <v>1415851</v>
      </c>
      <c r="I72">
        <v>1111586</v>
      </c>
      <c r="J72">
        <v>39832796</v>
      </c>
      <c r="K72">
        <v>4.0399838659549498</v>
      </c>
      <c r="L72">
        <v>23.747196863397502</v>
      </c>
      <c r="M72">
        <v>26.4783455246633</v>
      </c>
      <c r="N72" s="2">
        <f t="shared" si="17"/>
        <v>2.7735213641114553</v>
      </c>
      <c r="O72" s="2">
        <v>0.50239999999999996</v>
      </c>
      <c r="P72" s="2">
        <f t="shared" si="18"/>
        <v>17.928047972096977</v>
      </c>
      <c r="Q72" s="2">
        <f t="shared" si="19"/>
        <v>2.6326004993554911E-3</v>
      </c>
      <c r="R72" s="2">
        <f t="shared" si="20"/>
        <v>6.3670271860975861E-2</v>
      </c>
      <c r="S72" s="2">
        <f t="shared" si="21"/>
        <v>0.21978018873454905</v>
      </c>
      <c r="T72" s="2">
        <v>2.8654132091227212E-2</v>
      </c>
      <c r="U72" s="2">
        <v>3.2209343665251404E-2</v>
      </c>
      <c r="V72" s="3">
        <f t="shared" si="23"/>
        <v>2.7906301129350799E-2</v>
      </c>
      <c r="W72">
        <v>0</v>
      </c>
      <c r="X72" t="e">
        <f t="shared" si="22"/>
        <v>#NUM!</v>
      </c>
    </row>
    <row r="73" spans="1:24" x14ac:dyDescent="0.45">
      <c r="A73" t="s">
        <v>7</v>
      </c>
      <c r="B73">
        <v>5</v>
      </c>
      <c r="C73">
        <v>2021</v>
      </c>
      <c r="D73">
        <v>76511392</v>
      </c>
      <c r="E73">
        <v>4639089</v>
      </c>
      <c r="F73">
        <v>248838</v>
      </c>
      <c r="G73">
        <v>298433</v>
      </c>
      <c r="H73">
        <v>1733295</v>
      </c>
      <c r="I73">
        <v>1175929</v>
      </c>
      <c r="J73">
        <v>46389215</v>
      </c>
      <c r="K73">
        <v>2.9295233226858799</v>
      </c>
      <c r="L73">
        <v>25.554737309897</v>
      </c>
      <c r="M73">
        <v>27.207097804316199</v>
      </c>
      <c r="N73" s="2">
        <f t="shared" si="17"/>
        <v>2.7363720656007748</v>
      </c>
      <c r="P73" s="2">
        <f t="shared" si="18"/>
        <v>18.152950202742701</v>
      </c>
      <c r="Q73" s="2">
        <f t="shared" si="19"/>
        <v>3.2522999973650982E-3</v>
      </c>
      <c r="R73" s="2">
        <f t="shared" si="20"/>
        <v>6.0632657160387307E-2</v>
      </c>
      <c r="S73" s="2">
        <f t="shared" si="21"/>
        <v>0.17217669236915817</v>
      </c>
      <c r="T73" s="2">
        <v>2.5615641067098523E-2</v>
      </c>
      <c r="U73" s="2">
        <v>1.8347155481044399E-2</v>
      </c>
      <c r="V73" s="3">
        <f t="shared" si="23"/>
        <v>2.5349189461386659E-2</v>
      </c>
      <c r="W73">
        <v>54</v>
      </c>
      <c r="X73">
        <f t="shared" si="22"/>
        <v>3.9889840465642745</v>
      </c>
    </row>
    <row r="74" spans="1:24" x14ac:dyDescent="0.45">
      <c r="A74" t="s">
        <v>7</v>
      </c>
      <c r="B74">
        <v>5</v>
      </c>
      <c r="C74">
        <v>2022</v>
      </c>
      <c r="D74">
        <v>79067497</v>
      </c>
      <c r="E74">
        <v>5002586</v>
      </c>
      <c r="F74">
        <v>364048</v>
      </c>
      <c r="G74">
        <v>203372</v>
      </c>
      <c r="H74">
        <v>1917238</v>
      </c>
      <c r="I74">
        <v>1418559</v>
      </c>
      <c r="J74">
        <v>50859390</v>
      </c>
      <c r="K74">
        <v>3.0268176838110499</v>
      </c>
      <c r="L74">
        <v>19.886983507523201</v>
      </c>
      <c r="M74">
        <v>27.746488205671799</v>
      </c>
      <c r="N74" s="2">
        <f t="shared" si="17"/>
        <v>2.7969424394155817</v>
      </c>
      <c r="O74" s="2">
        <v>0.47720000000000001</v>
      </c>
      <c r="P74" s="2">
        <f t="shared" si="18"/>
        <v>18.185812438050935</v>
      </c>
      <c r="Q74" s="2">
        <f t="shared" si="19"/>
        <v>4.6042686794549722E-3</v>
      </c>
      <c r="R74" s="2">
        <f t="shared" si="20"/>
        <v>6.3269816167318416E-2</v>
      </c>
      <c r="S74" s="2">
        <f t="shared" si="21"/>
        <v>0.10607551070863398</v>
      </c>
      <c r="T74" s="2">
        <v>8.0197923744283764E-2</v>
      </c>
      <c r="U74" s="2">
        <v>3.1565074996312899E-2</v>
      </c>
      <c r="V74" s="3">
        <f t="shared" si="23"/>
        <v>2.7891781635603574E-2</v>
      </c>
      <c r="W74">
        <v>3</v>
      </c>
      <c r="X74">
        <f t="shared" si="22"/>
        <v>1.0986122886681098</v>
      </c>
    </row>
    <row r="75" spans="1:24" x14ac:dyDescent="0.45">
      <c r="A75" t="s">
        <v>7</v>
      </c>
      <c r="B75">
        <v>5</v>
      </c>
      <c r="C75">
        <v>2023</v>
      </c>
      <c r="D75">
        <v>87883977</v>
      </c>
      <c r="E75">
        <v>5843904</v>
      </c>
      <c r="F75">
        <v>56568</v>
      </c>
      <c r="G75">
        <v>276418</v>
      </c>
      <c r="H75">
        <v>1755036</v>
      </c>
      <c r="I75">
        <v>1914588</v>
      </c>
      <c r="J75">
        <v>57768233</v>
      </c>
      <c r="K75">
        <v>3.07187771218757</v>
      </c>
      <c r="L75">
        <v>19.004474740999601</v>
      </c>
      <c r="M75">
        <v>27.341668248477099</v>
      </c>
      <c r="N75" s="2">
        <f t="shared" si="17"/>
        <v>2.7860582694813512</v>
      </c>
      <c r="P75" s="2">
        <f t="shared" si="18"/>
        <v>18.291528059349748</v>
      </c>
      <c r="Q75" s="2">
        <f t="shared" si="19"/>
        <v>6.436668199483052E-4</v>
      </c>
      <c r="R75" s="2">
        <f t="shared" si="20"/>
        <v>6.6495670763738884E-2</v>
      </c>
      <c r="S75" s="2">
        <f t="shared" si="21"/>
        <v>0.1574999031358901</v>
      </c>
      <c r="T75" s="2">
        <v>5.0499999999999996E-2</v>
      </c>
      <c r="U75" s="2">
        <v>3.2500000000000001E-2</v>
      </c>
      <c r="V75" s="3">
        <f t="shared" si="23"/>
        <v>3.3142575089669092E-2</v>
      </c>
      <c r="W75">
        <v>29</v>
      </c>
      <c r="X75">
        <f t="shared" si="22"/>
        <v>3.3672958299864741</v>
      </c>
    </row>
    <row r="76" spans="1:24" x14ac:dyDescent="0.45">
      <c r="A76" t="s">
        <v>7</v>
      </c>
      <c r="B76">
        <v>5</v>
      </c>
      <c r="C76">
        <v>2024</v>
      </c>
      <c r="D76">
        <v>103536280</v>
      </c>
      <c r="E76">
        <v>6154909</v>
      </c>
      <c r="F76">
        <v>311252</v>
      </c>
      <c r="G76">
        <v>171341</v>
      </c>
      <c r="H76">
        <v>2477589</v>
      </c>
      <c r="I76">
        <v>2184624</v>
      </c>
      <c r="J76">
        <v>68142074</v>
      </c>
      <c r="K76">
        <v>3.0966938195511502</v>
      </c>
      <c r="L76">
        <v>27.889422983664101</v>
      </c>
      <c r="M76">
        <v>27.243425052219401</v>
      </c>
      <c r="N76" s="2">
        <f t="shared" si="17"/>
        <v>2.7137039189377958</v>
      </c>
      <c r="P76" s="2">
        <f t="shared" si="18"/>
        <v>18.455432640648887</v>
      </c>
      <c r="Q76" s="2">
        <f t="shared" si="19"/>
        <v>3.006211928804087E-3</v>
      </c>
      <c r="R76" s="2">
        <f t="shared" si="20"/>
        <v>5.9446881808000056E-2</v>
      </c>
      <c r="S76" s="2">
        <f t="shared" si="21"/>
        <v>6.9156345140376385E-2</v>
      </c>
      <c r="T76" s="2">
        <v>7.0900000000000005E-2</v>
      </c>
      <c r="U76" s="2">
        <v>3.6299999999999999E-2</v>
      </c>
      <c r="V76" s="3">
        <f t="shared" si="23"/>
        <v>3.2059840151035024E-2</v>
      </c>
      <c r="W76">
        <v>36</v>
      </c>
      <c r="X76">
        <f t="shared" si="22"/>
        <v>3.5835189384561099</v>
      </c>
    </row>
    <row r="77" spans="1:24" x14ac:dyDescent="0.45">
      <c r="A77" t="s">
        <v>8</v>
      </c>
      <c r="B77">
        <v>6</v>
      </c>
      <c r="C77">
        <v>2010</v>
      </c>
      <c r="D77">
        <v>367712191</v>
      </c>
      <c r="E77">
        <v>18372276</v>
      </c>
      <c r="F77">
        <v>3414347</v>
      </c>
      <c r="G77">
        <v>2730400</v>
      </c>
      <c r="H77">
        <v>14819402</v>
      </c>
      <c r="I77">
        <v>1538538</v>
      </c>
      <c r="J77">
        <v>234204809</v>
      </c>
      <c r="K77">
        <v>3.2718982631890698</v>
      </c>
      <c r="L77">
        <v>9.7075901186610398</v>
      </c>
      <c r="M77">
        <v>17.334389639963199</v>
      </c>
      <c r="N77" s="2">
        <f t="shared" ref="N77:N91" si="24">LN((Q77+R77)/(_xlfn.STDEV.S($Q$77:$Q$91)))</f>
        <v>3.2693725463703056</v>
      </c>
      <c r="O77" s="2">
        <v>0.71599999999999997</v>
      </c>
      <c r="P77" s="2">
        <f t="shared" si="18"/>
        <v>19.722811100467609</v>
      </c>
      <c r="Q77" s="2">
        <f t="shared" si="19"/>
        <v>9.2853788467404941E-3</v>
      </c>
      <c r="R77" s="2">
        <f t="shared" si="20"/>
        <v>4.9963739167951597E-2</v>
      </c>
      <c r="S77" s="2">
        <f t="shared" si="21"/>
        <v>0.18424495131449972</v>
      </c>
      <c r="T77" s="2">
        <v>6.4232448223948205E-2</v>
      </c>
      <c r="U77" s="2">
        <v>9.20746648778413E-2</v>
      </c>
      <c r="V77" s="3">
        <f t="shared" si="23"/>
        <v>6.5691990124762982E-3</v>
      </c>
      <c r="W77">
        <v>3</v>
      </c>
      <c r="X77">
        <f t="shared" si="22"/>
        <v>1.0986122886681098</v>
      </c>
    </row>
    <row r="78" spans="1:24" x14ac:dyDescent="0.45">
      <c r="A78" t="s">
        <v>8</v>
      </c>
      <c r="B78">
        <v>6</v>
      </c>
      <c r="C78">
        <v>2011</v>
      </c>
      <c r="D78">
        <v>460603925</v>
      </c>
      <c r="E78">
        <v>28699392</v>
      </c>
      <c r="F78">
        <v>6259367</v>
      </c>
      <c r="G78">
        <v>2326127</v>
      </c>
      <c r="H78">
        <v>22374181</v>
      </c>
      <c r="I78">
        <v>2204171</v>
      </c>
      <c r="J78">
        <v>293434312</v>
      </c>
      <c r="K78">
        <v>3.59352181546691</v>
      </c>
      <c r="L78">
        <v>10.9472107468528</v>
      </c>
      <c r="M78">
        <v>19.912794817213701</v>
      </c>
      <c r="N78" s="2">
        <f t="shared" si="24"/>
        <v>3.517007474877603</v>
      </c>
      <c r="O78" s="2">
        <v>0.74</v>
      </c>
      <c r="P78" s="2">
        <f t="shared" si="18"/>
        <v>19.948049066808256</v>
      </c>
      <c r="Q78" s="2">
        <f t="shared" si="19"/>
        <v>1.3589478205162929E-2</v>
      </c>
      <c r="R78" s="2">
        <f t="shared" si="20"/>
        <v>6.2308179419009513E-2</v>
      </c>
      <c r="S78" s="2">
        <f t="shared" si="21"/>
        <v>0.10396478869997521</v>
      </c>
      <c r="T78" s="2">
        <v>6.4131688968168274E-2</v>
      </c>
      <c r="U78" s="2">
        <v>0.18677732277070699</v>
      </c>
      <c r="V78" s="3">
        <f t="shared" si="23"/>
        <v>7.5116334725026978E-3</v>
      </c>
      <c r="W78">
        <v>9</v>
      </c>
      <c r="X78">
        <f t="shared" si="22"/>
        <v>2.1972245773362196</v>
      </c>
    </row>
    <row r="79" spans="1:24" x14ac:dyDescent="0.45">
      <c r="A79" t="s">
        <v>8</v>
      </c>
      <c r="B79">
        <v>6</v>
      </c>
      <c r="C79">
        <v>2012</v>
      </c>
      <c r="D79">
        <v>503530259</v>
      </c>
      <c r="E79">
        <v>33840373</v>
      </c>
      <c r="F79">
        <v>6169679</v>
      </c>
      <c r="G79">
        <v>3541503</v>
      </c>
      <c r="H79">
        <v>21961527</v>
      </c>
      <c r="I79">
        <v>4889996</v>
      </c>
      <c r="J79">
        <v>333356092</v>
      </c>
      <c r="K79">
        <v>3.1504539182237998</v>
      </c>
      <c r="L79">
        <v>12.0614890394782</v>
      </c>
      <c r="M79">
        <v>20.9770541106558</v>
      </c>
      <c r="N79" s="2">
        <f t="shared" si="24"/>
        <v>3.5628638461477444</v>
      </c>
      <c r="O79" s="2">
        <v>0.68830000000000002</v>
      </c>
      <c r="P79" s="2">
        <f t="shared" si="18"/>
        <v>20.037154365635889</v>
      </c>
      <c r="Q79" s="2">
        <f t="shared" si="19"/>
        <v>1.2252846556337739E-2</v>
      </c>
      <c r="R79" s="2">
        <f t="shared" si="20"/>
        <v>6.720623516689192E-2</v>
      </c>
      <c r="S79" s="2">
        <f t="shared" si="21"/>
        <v>0.16125941515815362</v>
      </c>
      <c r="T79" s="2">
        <v>5.5045447041188994E-2</v>
      </c>
      <c r="U79" s="2">
        <v>9.0947033955719195E-2</v>
      </c>
      <c r="V79" s="3">
        <f t="shared" si="23"/>
        <v>1.4668986460280437E-2</v>
      </c>
      <c r="W79">
        <v>10</v>
      </c>
      <c r="X79">
        <f t="shared" si="22"/>
        <v>2.3025850929940459</v>
      </c>
    </row>
    <row r="80" spans="1:24" x14ac:dyDescent="0.45">
      <c r="A80" t="s">
        <v>8</v>
      </c>
      <c r="B80">
        <v>6</v>
      </c>
      <c r="C80">
        <v>2013</v>
      </c>
      <c r="D80">
        <v>576368416</v>
      </c>
      <c r="E80">
        <v>54287585</v>
      </c>
      <c r="F80">
        <v>5807978</v>
      </c>
      <c r="G80">
        <v>3506444</v>
      </c>
      <c r="H80">
        <v>21783699</v>
      </c>
      <c r="I80">
        <v>3770293</v>
      </c>
      <c r="J80">
        <v>376288968</v>
      </c>
      <c r="K80">
        <v>3.6926464082046402</v>
      </c>
      <c r="L80">
        <v>12.840142796842899</v>
      </c>
      <c r="M80">
        <v>22.1573299611807</v>
      </c>
      <c r="N80" s="2">
        <f t="shared" si="24"/>
        <v>3.834565875793726</v>
      </c>
      <c r="O80" s="2">
        <v>0.68089999999999995</v>
      </c>
      <c r="P80" s="2">
        <f t="shared" si="18"/>
        <v>20.172257625307271</v>
      </c>
      <c r="Q80" s="2">
        <f t="shared" si="19"/>
        <v>1.0076849873744643E-2</v>
      </c>
      <c r="R80" s="2">
        <f t="shared" si="20"/>
        <v>9.4189035160455431E-2</v>
      </c>
      <c r="S80" s="2">
        <f t="shared" si="21"/>
        <v>0.16096641805416059</v>
      </c>
      <c r="T80" s="2">
        <v>5.5535108102607179E-2</v>
      </c>
      <c r="U80" s="2">
        <v>6.5926747589919191E-2</v>
      </c>
      <c r="V80" s="3">
        <f t="shared" si="23"/>
        <v>1.0019674560323544E-2</v>
      </c>
      <c r="W80">
        <v>8</v>
      </c>
      <c r="X80">
        <f t="shared" si="22"/>
        <v>2.0794415416798357</v>
      </c>
    </row>
    <row r="81" spans="1:24" x14ac:dyDescent="0.45">
      <c r="A81" t="s">
        <v>8</v>
      </c>
      <c r="B81">
        <v>6</v>
      </c>
      <c r="C81">
        <v>2014</v>
      </c>
      <c r="D81">
        <v>661241727</v>
      </c>
      <c r="E81">
        <v>55259104</v>
      </c>
      <c r="F81">
        <v>5727880</v>
      </c>
      <c r="G81">
        <v>3168517</v>
      </c>
      <c r="H81">
        <v>21030633</v>
      </c>
      <c r="I81">
        <v>4905151</v>
      </c>
      <c r="J81">
        <v>439869027</v>
      </c>
      <c r="K81">
        <v>3.8792484082456702</v>
      </c>
      <c r="L81">
        <v>14.6258764318214</v>
      </c>
      <c r="M81">
        <v>22.979955992336901</v>
      </c>
      <c r="N81" s="2">
        <f t="shared" si="24"/>
        <v>3.711917923690863</v>
      </c>
      <c r="O81" s="2">
        <v>0.68920000000000003</v>
      </c>
      <c r="P81" s="2">
        <f t="shared" si="18"/>
        <v>20.309630029905399</v>
      </c>
      <c r="Q81" s="2">
        <f t="shared" si="19"/>
        <v>8.6623087535430132E-3</v>
      </c>
      <c r="R81" s="2">
        <f t="shared" si="20"/>
        <v>8.3568688640848585E-2</v>
      </c>
      <c r="S81" s="2">
        <f t="shared" si="21"/>
        <v>0.15066198910893458</v>
      </c>
      <c r="T81" s="2">
        <v>6.4222431211856723E-2</v>
      </c>
      <c r="U81" s="2">
        <v>4.0845544663761703E-2</v>
      </c>
      <c r="V81" s="3">
        <f t="shared" si="23"/>
        <v>1.1151389843140741E-2</v>
      </c>
      <c r="W81">
        <v>7</v>
      </c>
      <c r="X81">
        <f t="shared" si="22"/>
        <v>1.9459101490553132</v>
      </c>
    </row>
    <row r="82" spans="1:24" x14ac:dyDescent="0.45">
      <c r="A82" t="s">
        <v>8</v>
      </c>
      <c r="B82">
        <v>6</v>
      </c>
      <c r="C82">
        <v>2015</v>
      </c>
      <c r="D82">
        <v>779483487</v>
      </c>
      <c r="E82">
        <v>56110146</v>
      </c>
      <c r="F82">
        <v>5716878</v>
      </c>
      <c r="G82">
        <v>3904899</v>
      </c>
      <c r="H82">
        <v>22743884</v>
      </c>
      <c r="I82">
        <v>4942240</v>
      </c>
      <c r="J82">
        <v>538079829</v>
      </c>
      <c r="K82">
        <v>3.7957611751290998</v>
      </c>
      <c r="L82">
        <v>15.8219673058815</v>
      </c>
      <c r="M82">
        <v>24.006275960852001</v>
      </c>
      <c r="N82" s="2">
        <f t="shared" si="24"/>
        <v>3.5610859775322274</v>
      </c>
      <c r="O82" s="2">
        <v>0.72189999999999999</v>
      </c>
      <c r="P82" s="2">
        <f t="shared" si="18"/>
        <v>20.474142062145351</v>
      </c>
      <c r="Q82" s="2">
        <f t="shared" si="19"/>
        <v>7.334187439945088E-3</v>
      </c>
      <c r="R82" s="2">
        <f t="shared" si="20"/>
        <v>7.1983751979084576E-2</v>
      </c>
      <c r="S82" s="2">
        <f t="shared" si="21"/>
        <v>0.17169006841575521</v>
      </c>
      <c r="T82" s="2">
        <v>6.9871543059861096E-2</v>
      </c>
      <c r="U82" s="2">
        <v>6.3120090517575396E-3</v>
      </c>
      <c r="V82" s="3">
        <f t="shared" si="23"/>
        <v>9.1849568291473716E-3</v>
      </c>
      <c r="W82">
        <v>0</v>
      </c>
      <c r="X82" t="e">
        <f t="shared" si="22"/>
        <v>#NUM!</v>
      </c>
    </row>
    <row r="83" spans="1:24" x14ac:dyDescent="0.45">
      <c r="A83" t="s">
        <v>8</v>
      </c>
      <c r="B83">
        <v>6</v>
      </c>
      <c r="C83">
        <v>2016</v>
      </c>
      <c r="D83">
        <v>948567505</v>
      </c>
      <c r="E83">
        <v>60306764</v>
      </c>
      <c r="F83">
        <v>6765211</v>
      </c>
      <c r="G83">
        <v>4057276</v>
      </c>
      <c r="H83">
        <v>26361155</v>
      </c>
      <c r="I83">
        <v>6742800</v>
      </c>
      <c r="J83">
        <v>661987797</v>
      </c>
      <c r="K83">
        <v>3.8729071718276198</v>
      </c>
      <c r="L83">
        <v>18.127194558590599</v>
      </c>
      <c r="M83">
        <v>24.4994330579914</v>
      </c>
      <c r="N83" s="2">
        <f t="shared" si="24"/>
        <v>3.4461902706892218</v>
      </c>
      <c r="O83" s="2">
        <v>0.49320000000000003</v>
      </c>
      <c r="P83" s="2">
        <f t="shared" si="18"/>
        <v>20.670463515075706</v>
      </c>
      <c r="Q83" s="2">
        <f t="shared" si="19"/>
        <v>7.1320290483701523E-3</v>
      </c>
      <c r="R83" s="2">
        <f t="shared" si="20"/>
        <v>6.3576670803202354E-2</v>
      </c>
      <c r="S83" s="2">
        <f t="shared" si="21"/>
        <v>0.1539111620867902</v>
      </c>
      <c r="T83" s="2">
        <v>6.6900089266042351E-2</v>
      </c>
      <c r="U83" s="2">
        <v>2.6682481696908199E-2</v>
      </c>
      <c r="V83" s="3">
        <f t="shared" si="23"/>
        <v>1.018568624762731E-2</v>
      </c>
      <c r="W83">
        <v>12</v>
      </c>
      <c r="X83">
        <f t="shared" si="22"/>
        <v>2.4849066497880004</v>
      </c>
    </row>
    <row r="84" spans="1:24" x14ac:dyDescent="0.45">
      <c r="A84" t="s">
        <v>8</v>
      </c>
      <c r="B84">
        <v>6</v>
      </c>
      <c r="C84">
        <v>2017</v>
      </c>
      <c r="D84">
        <v>1095060842</v>
      </c>
      <c r="E84">
        <v>63765283</v>
      </c>
      <c r="F84">
        <v>7458902</v>
      </c>
      <c r="G84">
        <v>5546883</v>
      </c>
      <c r="H84">
        <v>32619870</v>
      </c>
      <c r="I84">
        <v>9011131</v>
      </c>
      <c r="J84">
        <v>790688059</v>
      </c>
      <c r="K84">
        <v>3.4878659520670099</v>
      </c>
      <c r="L84">
        <v>19.9794949903735</v>
      </c>
      <c r="M84">
        <v>24.408110955118602</v>
      </c>
      <c r="N84" s="2">
        <f t="shared" si="24"/>
        <v>3.3626441648057122</v>
      </c>
      <c r="O84" s="2">
        <v>0.53400000000000003</v>
      </c>
      <c r="P84" s="2">
        <f t="shared" si="18"/>
        <v>20.814075762141602</v>
      </c>
      <c r="Q84" s="2">
        <f t="shared" si="19"/>
        <v>6.8114041831476612E-3</v>
      </c>
      <c r="R84" s="2">
        <f t="shared" si="20"/>
        <v>5.8229899704513408E-2</v>
      </c>
      <c r="S84" s="2">
        <f t="shared" si="21"/>
        <v>0.17004614058854312</v>
      </c>
      <c r="T84" s="2">
        <v>6.9401903735920603E-2</v>
      </c>
      <c r="U84" s="2">
        <v>3.5202568881161703E-2</v>
      </c>
      <c r="V84" s="3">
        <f t="shared" si="23"/>
        <v>1.1396568972341089E-2</v>
      </c>
      <c r="W84">
        <v>15</v>
      </c>
      <c r="X84">
        <f t="shared" si="22"/>
        <v>2.7080502011022101</v>
      </c>
    </row>
    <row r="85" spans="1:24" x14ac:dyDescent="0.45">
      <c r="A85" t="s">
        <v>8</v>
      </c>
      <c r="B85">
        <v>6</v>
      </c>
      <c r="C85">
        <v>2018</v>
      </c>
      <c r="D85">
        <v>1164289661</v>
      </c>
      <c r="E85">
        <v>67316334</v>
      </c>
      <c r="F85">
        <v>5277246</v>
      </c>
      <c r="G85">
        <v>6233695</v>
      </c>
      <c r="H85">
        <v>28445527</v>
      </c>
      <c r="I85">
        <v>13690952</v>
      </c>
      <c r="J85">
        <v>864925948</v>
      </c>
      <c r="K85">
        <v>3.9598095587873798</v>
      </c>
      <c r="L85">
        <v>20.511087535654799</v>
      </c>
      <c r="M85">
        <v>25.6092485278987</v>
      </c>
      <c r="N85" s="2">
        <f t="shared" si="24"/>
        <v>3.3203869724547213</v>
      </c>
      <c r="O85" s="2">
        <v>0.48799999999999999</v>
      </c>
      <c r="P85" s="2">
        <f t="shared" si="18"/>
        <v>20.875377004954075</v>
      </c>
      <c r="Q85" s="2">
        <f t="shared" si="19"/>
        <v>4.5325885617393622E-3</v>
      </c>
      <c r="R85" s="2">
        <f t="shared" si="20"/>
        <v>5.7817514193317224E-2</v>
      </c>
      <c r="S85" s="2">
        <f t="shared" si="21"/>
        <v>0.21914499949324195</v>
      </c>
      <c r="T85" s="2">
        <v>7.4650068557275087E-2</v>
      </c>
      <c r="U85" s="2">
        <v>3.5396280594264098E-2</v>
      </c>
      <c r="V85" s="3">
        <f t="shared" si="23"/>
        <v>1.5829045286082689E-2</v>
      </c>
      <c r="W85">
        <v>16</v>
      </c>
      <c r="X85">
        <f t="shared" si="22"/>
        <v>2.7725887222397811</v>
      </c>
    </row>
    <row r="86" spans="1:24" x14ac:dyDescent="0.45">
      <c r="A86" t="s">
        <v>8</v>
      </c>
      <c r="B86">
        <v>6</v>
      </c>
      <c r="C86">
        <v>2019</v>
      </c>
      <c r="D86">
        <v>1240711475</v>
      </c>
      <c r="E86">
        <v>77354818</v>
      </c>
      <c r="F86">
        <v>9476989</v>
      </c>
      <c r="G86">
        <v>7320349</v>
      </c>
      <c r="H86">
        <v>40519386</v>
      </c>
      <c r="I86">
        <v>10813411</v>
      </c>
      <c r="J86">
        <v>935270945</v>
      </c>
      <c r="K86">
        <v>4.0230286341449499</v>
      </c>
      <c r="L86">
        <v>21.918245362198</v>
      </c>
      <c r="M86">
        <v>26.1660509841828</v>
      </c>
      <c r="N86" s="2">
        <f t="shared" si="24"/>
        <v>3.4359096616944647</v>
      </c>
      <c r="O86" s="2">
        <v>0.43630000000000002</v>
      </c>
      <c r="P86" s="2">
        <f t="shared" si="18"/>
        <v>20.938950822181486</v>
      </c>
      <c r="Q86" s="2">
        <f t="shared" si="19"/>
        <v>7.638350406971129E-3</v>
      </c>
      <c r="R86" s="2">
        <f t="shared" si="20"/>
        <v>6.2347144810601517E-2</v>
      </c>
      <c r="S86" s="2">
        <f t="shared" si="21"/>
        <v>0.18066288072578396</v>
      </c>
      <c r="T86" s="2">
        <v>7.3592627010500566E-2</v>
      </c>
      <c r="U86" s="2">
        <v>2.7958236745225001E-2</v>
      </c>
      <c r="V86" s="3">
        <f t="shared" si="23"/>
        <v>1.1561795068914495E-2</v>
      </c>
      <c r="W86">
        <v>33</v>
      </c>
      <c r="X86">
        <f t="shared" si="22"/>
        <v>3.4965075614664802</v>
      </c>
    </row>
    <row r="87" spans="1:24" x14ac:dyDescent="0.45">
      <c r="A87" t="s">
        <v>8</v>
      </c>
      <c r="B87">
        <v>6</v>
      </c>
      <c r="C87">
        <v>2020</v>
      </c>
      <c r="D87">
        <v>1341509978</v>
      </c>
      <c r="E87">
        <v>85439224</v>
      </c>
      <c r="F87">
        <v>13785208</v>
      </c>
      <c r="G87">
        <v>9777831</v>
      </c>
      <c r="H87">
        <v>45357459</v>
      </c>
      <c r="I87">
        <v>9519101</v>
      </c>
      <c r="J87">
        <v>1015333270</v>
      </c>
      <c r="K87">
        <v>4.0399838659549498</v>
      </c>
      <c r="L87">
        <v>23.747196863397502</v>
      </c>
      <c r="M87">
        <v>26.4783455246633</v>
      </c>
      <c r="N87" s="2">
        <f t="shared" si="24"/>
        <v>3.4912100977842848</v>
      </c>
      <c r="O87" s="2">
        <v>0.49769999999999998</v>
      </c>
      <c r="P87" s="2">
        <f t="shared" si="18"/>
        <v>21.017061665744894</v>
      </c>
      <c r="Q87" s="2">
        <f t="shared" si="19"/>
        <v>1.0275889278551456E-2</v>
      </c>
      <c r="R87" s="2">
        <f t="shared" si="20"/>
        <v>6.3688847195439949E-2</v>
      </c>
      <c r="S87" s="2">
        <f t="shared" si="21"/>
        <v>0.21557272421279156</v>
      </c>
      <c r="T87" s="2">
        <v>2.8654132091227212E-2</v>
      </c>
      <c r="U87" s="2">
        <v>3.2209343665251404E-2</v>
      </c>
      <c r="V87" s="3">
        <f t="shared" si="23"/>
        <v>9.3753462840826633E-3</v>
      </c>
      <c r="W87">
        <v>28</v>
      </c>
      <c r="X87">
        <f t="shared" si="22"/>
        <v>3.3322045101752038</v>
      </c>
    </row>
    <row r="88" spans="1:24" x14ac:dyDescent="0.45">
      <c r="A88" t="s">
        <v>8</v>
      </c>
      <c r="B88">
        <v>6</v>
      </c>
      <c r="C88">
        <v>2021</v>
      </c>
      <c r="D88">
        <v>1531587398</v>
      </c>
      <c r="E88">
        <v>93649511</v>
      </c>
      <c r="F88">
        <v>14215342</v>
      </c>
      <c r="G88">
        <v>11368167</v>
      </c>
      <c r="H88">
        <v>53156632</v>
      </c>
      <c r="I88">
        <v>14300465</v>
      </c>
      <c r="J88">
        <v>1130667767</v>
      </c>
      <c r="K88">
        <v>2.9295233226858799</v>
      </c>
      <c r="L88">
        <v>25.554737309897</v>
      </c>
      <c r="M88">
        <v>27.207097804316199</v>
      </c>
      <c r="N88" s="2">
        <f t="shared" si="24"/>
        <v>3.4421960221105645</v>
      </c>
      <c r="P88" s="2">
        <f t="shared" si="18"/>
        <v>21.149570549536698</v>
      </c>
      <c r="Q88" s="2">
        <f t="shared" si="19"/>
        <v>9.2814435653903182E-3</v>
      </c>
      <c r="R88" s="2">
        <f t="shared" si="20"/>
        <v>6.1145391456139418E-2</v>
      </c>
      <c r="S88" s="2">
        <f t="shared" si="21"/>
        <v>0.21386168709861075</v>
      </c>
      <c r="T88" s="2">
        <v>2.5615641067098523E-2</v>
      </c>
      <c r="U88" s="2">
        <v>1.8347155481044399E-2</v>
      </c>
      <c r="V88" s="3">
        <f t="shared" si="23"/>
        <v>1.2647804613678352E-2</v>
      </c>
      <c r="W88">
        <v>59</v>
      </c>
      <c r="X88">
        <f t="shared" si="22"/>
        <v>4.0775374439057197</v>
      </c>
    </row>
    <row r="89" spans="1:24" x14ac:dyDescent="0.45">
      <c r="A89" t="s">
        <v>8</v>
      </c>
      <c r="B89">
        <v>6</v>
      </c>
      <c r="C89">
        <v>2022</v>
      </c>
      <c r="D89">
        <v>1808810868</v>
      </c>
      <c r="E89">
        <v>108316308</v>
      </c>
      <c r="F89">
        <v>16983645</v>
      </c>
      <c r="G89">
        <v>16325221</v>
      </c>
      <c r="H89">
        <v>64117176</v>
      </c>
      <c r="I89">
        <v>15800980</v>
      </c>
      <c r="J89">
        <v>1274843694</v>
      </c>
      <c r="K89">
        <v>3.0268176838110499</v>
      </c>
      <c r="L89">
        <v>19.886983507523201</v>
      </c>
      <c r="M89">
        <v>27.746488205671799</v>
      </c>
      <c r="N89" s="2">
        <f t="shared" si="24"/>
        <v>3.425662488729099</v>
      </c>
      <c r="O89" s="2">
        <v>0.6472</v>
      </c>
      <c r="P89" s="2">
        <f t="shared" si="18"/>
        <v>21.315935487313347</v>
      </c>
      <c r="Q89" s="2">
        <f t="shared" si="19"/>
        <v>9.3893979190753079E-3</v>
      </c>
      <c r="R89" s="2">
        <f t="shared" si="20"/>
        <v>5.9882605703140877E-2</v>
      </c>
      <c r="S89" s="2">
        <f t="shared" si="21"/>
        <v>0.25461540913779485</v>
      </c>
      <c r="T89" s="2">
        <v>8.0197923744283764E-2</v>
      </c>
      <c r="U89" s="2">
        <v>3.1565074996312899E-2</v>
      </c>
      <c r="V89" s="3">
        <f t="shared" si="23"/>
        <v>1.2394444961658178E-2</v>
      </c>
      <c r="W89">
        <v>23</v>
      </c>
      <c r="X89">
        <f t="shared" si="22"/>
        <v>3.1354942159291497</v>
      </c>
    </row>
    <row r="90" spans="1:24" x14ac:dyDescent="0.45">
      <c r="A90" t="s">
        <v>8</v>
      </c>
      <c r="B90">
        <v>6</v>
      </c>
      <c r="C90">
        <v>2023</v>
      </c>
      <c r="D90">
        <v>2032613606</v>
      </c>
      <c r="E90">
        <v>125871820</v>
      </c>
      <c r="F90">
        <v>20044622</v>
      </c>
      <c r="G90">
        <v>17590687</v>
      </c>
      <c r="H90">
        <v>70548165</v>
      </c>
      <c r="I90">
        <v>16608332</v>
      </c>
      <c r="J90">
        <v>1473344564</v>
      </c>
      <c r="K90">
        <v>3.07187771218757</v>
      </c>
      <c r="L90">
        <v>19.004474740999601</v>
      </c>
      <c r="M90">
        <v>27.341668248477099</v>
      </c>
      <c r="N90" s="2">
        <f t="shared" si="24"/>
        <v>3.4613333395101784</v>
      </c>
      <c r="P90" s="2">
        <f t="shared" si="18"/>
        <v>21.432588292535137</v>
      </c>
      <c r="Q90" s="2">
        <f t="shared" si="19"/>
        <v>9.8615014387540209E-3</v>
      </c>
      <c r="R90" s="2">
        <f t="shared" si="20"/>
        <v>6.1926093394456989E-2</v>
      </c>
      <c r="S90" s="2">
        <f t="shared" si="21"/>
        <v>0.2493429418043687</v>
      </c>
      <c r="T90" s="2">
        <v>5.0499999999999996E-2</v>
      </c>
      <c r="U90" s="2">
        <v>3.2500000000000001E-2</v>
      </c>
      <c r="V90" s="3">
        <f t="shared" si="23"/>
        <v>1.1272537603091194E-2</v>
      </c>
      <c r="W90">
        <v>213</v>
      </c>
      <c r="X90">
        <f t="shared" si="22"/>
        <v>5.3612921657094255</v>
      </c>
    </row>
    <row r="91" spans="1:24" x14ac:dyDescent="0.45">
      <c r="A91" t="s">
        <v>8</v>
      </c>
      <c r="B91">
        <v>6</v>
      </c>
      <c r="C91">
        <v>2024</v>
      </c>
      <c r="D91">
        <v>2385387732</v>
      </c>
      <c r="E91">
        <v>148504708</v>
      </c>
      <c r="F91">
        <v>25482567</v>
      </c>
      <c r="G91">
        <v>19505889</v>
      </c>
      <c r="H91">
        <v>81908683</v>
      </c>
      <c r="I91">
        <v>20989767</v>
      </c>
      <c r="J91">
        <v>1721954714</v>
      </c>
      <c r="K91">
        <v>3.0966938195511502</v>
      </c>
      <c r="L91">
        <v>27.889422983664101</v>
      </c>
      <c r="M91">
        <v>27.243425052219401</v>
      </c>
      <c r="N91" s="2">
        <f t="shared" si="24"/>
        <v>3.477242134453931</v>
      </c>
      <c r="P91" s="2">
        <f t="shared" si="18"/>
        <v>21.592627519142653</v>
      </c>
      <c r="Q91" s="2">
        <f t="shared" si="19"/>
        <v>1.0682777754807369E-2</v>
      </c>
      <c r="R91" s="2">
        <f t="shared" si="20"/>
        <v>6.2256003922468398E-2</v>
      </c>
      <c r="S91" s="2">
        <f t="shared" si="21"/>
        <v>0.23814189516391077</v>
      </c>
      <c r="T91" s="2">
        <v>7.0900000000000005E-2</v>
      </c>
      <c r="U91" s="2">
        <v>3.6299999999999999E-2</v>
      </c>
      <c r="V91" s="3">
        <f t="shared" si="23"/>
        <v>1.2189500007954332E-2</v>
      </c>
      <c r="W91">
        <v>414</v>
      </c>
      <c r="X91">
        <f t="shared" si="22"/>
        <v>6.0258659738253142</v>
      </c>
    </row>
    <row r="92" spans="1:24" x14ac:dyDescent="0.45">
      <c r="A92" t="s">
        <v>9</v>
      </c>
      <c r="B92">
        <v>7</v>
      </c>
      <c r="C92">
        <v>2010</v>
      </c>
      <c r="D92">
        <v>131110882</v>
      </c>
      <c r="E92">
        <v>13510740</v>
      </c>
      <c r="F92">
        <v>1814639</v>
      </c>
      <c r="G92">
        <v>786685</v>
      </c>
      <c r="H92">
        <v>3669620</v>
      </c>
      <c r="I92">
        <v>885534</v>
      </c>
      <c r="J92">
        <v>62345714</v>
      </c>
      <c r="K92">
        <v>3.2718982631890698</v>
      </c>
      <c r="L92">
        <v>9.7075901186610398</v>
      </c>
      <c r="M92">
        <v>17.334389639963199</v>
      </c>
      <c r="N92" s="2">
        <f t="shared" ref="N92:N106" si="25">LN((Q92+R92)/(_xlfn.STDEV.S($Q$92:$Q$106)))</f>
        <v>3.0456518082885435</v>
      </c>
      <c r="O92" s="2">
        <v>0.5897</v>
      </c>
      <c r="P92" s="2">
        <f t="shared" si="18"/>
        <v>18.691553950628609</v>
      </c>
      <c r="Q92" s="2">
        <f t="shared" si="19"/>
        <v>1.3840491134824339E-2</v>
      </c>
      <c r="R92" s="2">
        <f t="shared" si="20"/>
        <v>0.10304819702151038</v>
      </c>
      <c r="S92" s="2">
        <f t="shared" si="21"/>
        <v>0.21437778298570423</v>
      </c>
      <c r="T92" s="2">
        <v>6.4232448223948205E-2</v>
      </c>
      <c r="U92" s="2">
        <v>9.20746648778413E-2</v>
      </c>
      <c r="V92" s="3">
        <f t="shared" si="23"/>
        <v>1.4203606682570032E-2</v>
      </c>
      <c r="W92">
        <v>8</v>
      </c>
      <c r="X92">
        <f t="shared" si="22"/>
        <v>2.0794415416798357</v>
      </c>
    </row>
    <row r="93" spans="1:24" x14ac:dyDescent="0.45">
      <c r="A93" t="s">
        <v>9</v>
      </c>
      <c r="B93">
        <v>7</v>
      </c>
      <c r="C93">
        <v>2011</v>
      </c>
      <c r="D93">
        <v>183567032</v>
      </c>
      <c r="E93">
        <v>16302520</v>
      </c>
      <c r="F93">
        <v>3038864</v>
      </c>
      <c r="G93">
        <v>933481</v>
      </c>
      <c r="H93">
        <v>6237107</v>
      </c>
      <c r="I93">
        <v>1202977</v>
      </c>
      <c r="J93">
        <v>74663330</v>
      </c>
      <c r="K93">
        <v>3.59352181546691</v>
      </c>
      <c r="L93">
        <v>10.9472107468528</v>
      </c>
      <c r="M93">
        <v>19.912794817213701</v>
      </c>
      <c r="N93" s="2">
        <f t="shared" si="25"/>
        <v>2.941852139807041</v>
      </c>
      <c r="O93" s="2">
        <v>0.57220000000000004</v>
      </c>
      <c r="P93" s="2">
        <f t="shared" si="18"/>
        <v>19.028090455756917</v>
      </c>
      <c r="Q93" s="2">
        <f t="shared" si="19"/>
        <v>1.6554519441159782E-2</v>
      </c>
      <c r="R93" s="2">
        <f t="shared" si="20"/>
        <v>8.8809628953416861E-2</v>
      </c>
      <c r="S93" s="2">
        <f t="shared" si="21"/>
        <v>0.14966570238413418</v>
      </c>
      <c r="T93" s="2">
        <v>6.4131688968168274E-2</v>
      </c>
      <c r="U93" s="2">
        <v>0.18677732277070699</v>
      </c>
      <c r="V93" s="3">
        <f t="shared" si="23"/>
        <v>1.6112019112996968E-2</v>
      </c>
      <c r="W93">
        <v>15</v>
      </c>
      <c r="X93">
        <f t="shared" si="22"/>
        <v>2.7080502011022101</v>
      </c>
    </row>
    <row r="94" spans="1:24" x14ac:dyDescent="0.45">
      <c r="A94" t="s">
        <v>9</v>
      </c>
      <c r="B94">
        <v>7</v>
      </c>
      <c r="C94">
        <v>2012</v>
      </c>
      <c r="D94">
        <v>170156010</v>
      </c>
      <c r="E94">
        <v>15812205</v>
      </c>
      <c r="F94">
        <v>2138655</v>
      </c>
      <c r="G94">
        <v>485802</v>
      </c>
      <c r="H94">
        <v>5387261</v>
      </c>
      <c r="I94">
        <v>987624</v>
      </c>
      <c r="J94">
        <v>74922289</v>
      </c>
      <c r="K94">
        <v>3.1504539182237998</v>
      </c>
      <c r="L94">
        <v>12.0614890394782</v>
      </c>
      <c r="M94">
        <v>20.9770541106558</v>
      </c>
      <c r="N94" s="2">
        <f t="shared" si="25"/>
        <v>2.9431072911565228</v>
      </c>
      <c r="O94" s="2">
        <v>0.5141</v>
      </c>
      <c r="P94" s="2">
        <f t="shared" si="18"/>
        <v>18.952226280062295</v>
      </c>
      <c r="Q94" s="2">
        <f t="shared" si="19"/>
        <v>1.2568789077741069E-2</v>
      </c>
      <c r="R94" s="2">
        <f t="shared" si="20"/>
        <v>9.292769030021332E-2</v>
      </c>
      <c r="S94" s="2">
        <f t="shared" si="21"/>
        <v>9.017606535120537E-2</v>
      </c>
      <c r="T94" s="2">
        <v>5.5045447041188994E-2</v>
      </c>
      <c r="U94" s="2">
        <v>9.0947033955719195E-2</v>
      </c>
      <c r="V94" s="3">
        <f t="shared" si="23"/>
        <v>1.3181978463044556E-2</v>
      </c>
      <c r="W94">
        <v>3</v>
      </c>
      <c r="X94">
        <f t="shared" si="22"/>
        <v>1.0986122886681098</v>
      </c>
    </row>
    <row r="95" spans="1:24" x14ac:dyDescent="0.45">
      <c r="A95" t="s">
        <v>9</v>
      </c>
      <c r="B95">
        <v>7</v>
      </c>
      <c r="C95">
        <v>2013</v>
      </c>
      <c r="D95">
        <v>169835460</v>
      </c>
      <c r="E95">
        <v>14680317</v>
      </c>
      <c r="F95">
        <v>658706</v>
      </c>
      <c r="G95">
        <v>512518</v>
      </c>
      <c r="H95">
        <v>3248862</v>
      </c>
      <c r="I95">
        <v>1652206</v>
      </c>
      <c r="J95">
        <v>83354232</v>
      </c>
      <c r="K95">
        <v>3.6926464082046402</v>
      </c>
      <c r="L95">
        <v>12.840142796842899</v>
      </c>
      <c r="M95">
        <v>22.1573299611807</v>
      </c>
      <c r="N95" s="2">
        <f t="shared" si="25"/>
        <v>2.7877550068183981</v>
      </c>
      <c r="O95" s="2">
        <v>0.49149999999999999</v>
      </c>
      <c r="P95" s="2">
        <f t="shared" si="18"/>
        <v>18.950340643961013</v>
      </c>
      <c r="Q95" s="2">
        <f t="shared" si="19"/>
        <v>3.8784951034371738E-3</v>
      </c>
      <c r="R95" s="2">
        <f t="shared" si="20"/>
        <v>8.6438468150290881E-2</v>
      </c>
      <c r="S95" s="2">
        <f t="shared" si="21"/>
        <v>0.15775308400295243</v>
      </c>
      <c r="T95" s="2">
        <v>5.5535108102607179E-2</v>
      </c>
      <c r="U95" s="2">
        <v>6.5926747589919191E-2</v>
      </c>
      <c r="V95" s="3">
        <f t="shared" si="23"/>
        <v>1.9821501084671983E-2</v>
      </c>
      <c r="W95">
        <v>15</v>
      </c>
      <c r="X95">
        <f t="shared" si="22"/>
        <v>2.7080502011022101</v>
      </c>
    </row>
    <row r="96" spans="1:24" x14ac:dyDescent="0.45">
      <c r="A96" t="s">
        <v>9</v>
      </c>
      <c r="B96">
        <v>7</v>
      </c>
      <c r="C96">
        <v>2014</v>
      </c>
      <c r="D96">
        <v>161093836</v>
      </c>
      <c r="E96">
        <v>14068297</v>
      </c>
      <c r="F96">
        <v>56084</v>
      </c>
      <c r="G96">
        <v>232566</v>
      </c>
      <c r="H96">
        <v>2942799</v>
      </c>
      <c r="I96">
        <v>2144371</v>
      </c>
      <c r="J96">
        <v>87146543</v>
      </c>
      <c r="K96">
        <v>3.8792484082456702</v>
      </c>
      <c r="L96">
        <v>14.6258764318214</v>
      </c>
      <c r="M96">
        <v>22.979955992336901</v>
      </c>
      <c r="N96" s="2">
        <f t="shared" si="25"/>
        <v>2.758100414166011</v>
      </c>
      <c r="O96" s="2">
        <v>0.50290000000000001</v>
      </c>
      <c r="P96" s="2">
        <f t="shared" si="18"/>
        <v>18.897497585466095</v>
      </c>
      <c r="Q96" s="2">
        <f t="shared" si="19"/>
        <v>3.4814491598548814E-4</v>
      </c>
      <c r="R96" s="2">
        <f t="shared" si="20"/>
        <v>8.7329828063688303E-2</v>
      </c>
      <c r="S96" s="2">
        <f t="shared" si="21"/>
        <v>7.9028842948499031E-2</v>
      </c>
      <c r="T96" s="2">
        <v>6.4222431211856723E-2</v>
      </c>
      <c r="U96" s="2">
        <v>4.0845544663761703E-2</v>
      </c>
      <c r="V96" s="3">
        <f t="shared" si="23"/>
        <v>2.4606495291499973E-2</v>
      </c>
      <c r="W96">
        <v>21</v>
      </c>
      <c r="X96">
        <f t="shared" si="22"/>
        <v>3.044522437723423</v>
      </c>
    </row>
    <row r="97" spans="1:24" x14ac:dyDescent="0.45">
      <c r="A97" t="s">
        <v>9</v>
      </c>
      <c r="B97">
        <v>7</v>
      </c>
      <c r="C97">
        <v>2015</v>
      </c>
      <c r="D97">
        <v>124849675</v>
      </c>
      <c r="E97">
        <v>13144721</v>
      </c>
      <c r="F97">
        <v>39994</v>
      </c>
      <c r="G97">
        <v>401673</v>
      </c>
      <c r="H97">
        <v>3799363</v>
      </c>
      <c r="I97">
        <v>1575472</v>
      </c>
      <c r="J97">
        <v>84759792</v>
      </c>
      <c r="K97">
        <v>3.7957611751290998</v>
      </c>
      <c r="L97">
        <v>15.8219673058815</v>
      </c>
      <c r="M97">
        <v>24.006275960852001</v>
      </c>
      <c r="N97" s="2">
        <f t="shared" si="25"/>
        <v>2.9441327791052934</v>
      </c>
      <c r="O97" s="2">
        <v>0.55359999999999998</v>
      </c>
      <c r="P97" s="2">
        <f t="shared" ref="P97:P128" si="26">LN(D97)</f>
        <v>18.64262097156292</v>
      </c>
      <c r="Q97" s="2">
        <f t="shared" ref="Q97:Q128" si="27">F97/D97</f>
        <v>3.2033723756189194E-4</v>
      </c>
      <c r="R97" s="2">
        <f t="shared" ref="R97:R128" si="28">E97/D97</f>
        <v>0.10528438299899459</v>
      </c>
      <c r="S97" s="2">
        <f t="shared" ref="S97:S128" si="29">G97/H97</f>
        <v>0.1057211432548035</v>
      </c>
      <c r="T97" s="2">
        <v>6.9871543059861096E-2</v>
      </c>
      <c r="U97" s="2">
        <v>6.3120090517575396E-3</v>
      </c>
      <c r="V97" s="3">
        <f t="shared" si="23"/>
        <v>1.8587492522397882E-2</v>
      </c>
      <c r="W97">
        <v>21</v>
      </c>
      <c r="X97">
        <f t="shared" si="22"/>
        <v>3.044522437723423</v>
      </c>
    </row>
    <row r="98" spans="1:24" x14ac:dyDescent="0.45">
      <c r="A98" t="s">
        <v>9</v>
      </c>
      <c r="B98">
        <v>7</v>
      </c>
      <c r="C98">
        <v>2016</v>
      </c>
      <c r="D98">
        <v>128801508</v>
      </c>
      <c r="E98">
        <v>13448419</v>
      </c>
      <c r="F98">
        <v>308932</v>
      </c>
      <c r="G98">
        <v>652831</v>
      </c>
      <c r="H98">
        <v>3734910</v>
      </c>
      <c r="I98">
        <v>2560148</v>
      </c>
      <c r="J98">
        <v>86891327</v>
      </c>
      <c r="K98">
        <v>3.8729071718276198</v>
      </c>
      <c r="L98">
        <v>18.127194558590599</v>
      </c>
      <c r="M98">
        <v>24.4994330579914</v>
      </c>
      <c r="N98" s="2">
        <f t="shared" si="25"/>
        <v>2.9554857663651974</v>
      </c>
      <c r="O98" s="2">
        <v>0.37019999999999997</v>
      </c>
      <c r="P98" s="2">
        <f t="shared" si="26"/>
        <v>18.673783079640522</v>
      </c>
      <c r="Q98" s="2">
        <f t="shared" si="27"/>
        <v>2.3985122907101367E-3</v>
      </c>
      <c r="R98" s="2">
        <f t="shared" si="28"/>
        <v>0.10441196853067901</v>
      </c>
      <c r="S98" s="2">
        <f t="shared" si="29"/>
        <v>0.17479162817845678</v>
      </c>
      <c r="T98" s="2">
        <v>6.6900089266042351E-2</v>
      </c>
      <c r="U98" s="2">
        <v>2.6682481696908199E-2</v>
      </c>
      <c r="V98" s="3">
        <f t="shared" si="23"/>
        <v>2.9463792168808747E-2</v>
      </c>
      <c r="W98">
        <v>20</v>
      </c>
      <c r="X98">
        <f t="shared" si="22"/>
        <v>2.9957322735539909</v>
      </c>
    </row>
    <row r="99" spans="1:24" x14ac:dyDescent="0.45">
      <c r="A99" t="s">
        <v>9</v>
      </c>
      <c r="B99">
        <v>7</v>
      </c>
      <c r="C99">
        <v>2017</v>
      </c>
      <c r="D99">
        <v>149369554</v>
      </c>
      <c r="E99">
        <v>14251181</v>
      </c>
      <c r="F99">
        <v>822830</v>
      </c>
      <c r="G99">
        <v>1160405</v>
      </c>
      <c r="H99">
        <v>3828223</v>
      </c>
      <c r="I99">
        <v>2298430</v>
      </c>
      <c r="J99">
        <v>101324328</v>
      </c>
      <c r="K99">
        <v>3.4878659520670099</v>
      </c>
      <c r="L99">
        <v>19.9794949903735</v>
      </c>
      <c r="M99">
        <v>24.408110955118602</v>
      </c>
      <c r="N99" s="2">
        <f t="shared" si="25"/>
        <v>2.8987336603150222</v>
      </c>
      <c r="O99" s="2">
        <v>0.29730000000000001</v>
      </c>
      <c r="P99" s="2">
        <f t="shared" si="26"/>
        <v>18.821934021408012</v>
      </c>
      <c r="Q99" s="2">
        <f t="shared" si="27"/>
        <v>5.5086861945105627E-3</v>
      </c>
      <c r="R99" s="2">
        <f t="shared" si="28"/>
        <v>9.5408874287728013E-2</v>
      </c>
      <c r="S99" s="2">
        <f t="shared" si="29"/>
        <v>0.30311844424945988</v>
      </c>
      <c r="T99" s="2">
        <v>6.9401903735920603E-2</v>
      </c>
      <c r="U99" s="2">
        <v>3.5202568881161703E-2</v>
      </c>
      <c r="V99" s="3">
        <f t="shared" si="23"/>
        <v>2.2683890881565975E-2</v>
      </c>
      <c r="W99">
        <v>34</v>
      </c>
      <c r="X99">
        <f t="shared" si="22"/>
        <v>3.5263605246161616</v>
      </c>
    </row>
    <row r="100" spans="1:24" x14ac:dyDescent="0.45">
      <c r="A100" t="s">
        <v>9</v>
      </c>
      <c r="B100">
        <v>7</v>
      </c>
      <c r="C100">
        <v>2018</v>
      </c>
      <c r="D100">
        <v>152652063</v>
      </c>
      <c r="E100">
        <v>14883534</v>
      </c>
      <c r="F100">
        <v>660590</v>
      </c>
      <c r="G100">
        <v>1244683</v>
      </c>
      <c r="H100">
        <v>4451578</v>
      </c>
      <c r="I100">
        <v>1921010</v>
      </c>
      <c r="J100">
        <v>104042577</v>
      </c>
      <c r="K100">
        <v>3.9598095587873798</v>
      </c>
      <c r="L100">
        <v>20.511087535654799</v>
      </c>
      <c r="M100">
        <v>25.6092485278987</v>
      </c>
      <c r="N100" s="2">
        <f t="shared" si="25"/>
        <v>2.9077064443369673</v>
      </c>
      <c r="O100" s="2">
        <v>0.3629</v>
      </c>
      <c r="P100" s="2">
        <f t="shared" si="26"/>
        <v>18.843671791629667</v>
      </c>
      <c r="Q100" s="2">
        <f t="shared" si="27"/>
        <v>4.3274226827841825E-3</v>
      </c>
      <c r="R100" s="2">
        <f t="shared" si="28"/>
        <v>9.7499723931015594E-2</v>
      </c>
      <c r="S100" s="2">
        <f t="shared" si="29"/>
        <v>0.27960489516301862</v>
      </c>
      <c r="T100" s="2">
        <v>7.4650068557275087E-2</v>
      </c>
      <c r="U100" s="2">
        <v>3.5396280594264098E-2</v>
      </c>
      <c r="V100" s="3">
        <f t="shared" si="23"/>
        <v>1.8463691071396664E-2</v>
      </c>
      <c r="W100">
        <v>48</v>
      </c>
      <c r="X100">
        <f t="shared" si="22"/>
        <v>3.8712010109078911</v>
      </c>
    </row>
    <row r="101" spans="1:24" x14ac:dyDescent="0.45">
      <c r="A101" t="s">
        <v>9</v>
      </c>
      <c r="B101">
        <v>7</v>
      </c>
      <c r="C101">
        <v>2019</v>
      </c>
      <c r="D101">
        <v>167538318</v>
      </c>
      <c r="E101">
        <v>15749313</v>
      </c>
      <c r="F101">
        <v>866132</v>
      </c>
      <c r="G101">
        <v>1265922</v>
      </c>
      <c r="H101">
        <v>4486288</v>
      </c>
      <c r="I101">
        <v>1933171</v>
      </c>
      <c r="J101">
        <v>113254792</v>
      </c>
      <c r="K101">
        <v>4.0230286341449499</v>
      </c>
      <c r="L101">
        <v>21.918245362198</v>
      </c>
      <c r="M101">
        <v>26.1660509841828</v>
      </c>
      <c r="N101" s="2">
        <f t="shared" si="25"/>
        <v>2.8813055837980266</v>
      </c>
      <c r="O101" s="2">
        <v>0.52700000000000002</v>
      </c>
      <c r="P101" s="2">
        <f t="shared" si="26"/>
        <v>18.936722647245965</v>
      </c>
      <c r="Q101" s="2">
        <f t="shared" si="27"/>
        <v>5.1697546587521548E-3</v>
      </c>
      <c r="R101" s="2">
        <f t="shared" si="28"/>
        <v>9.4004244449917423E-2</v>
      </c>
      <c r="S101" s="2">
        <f t="shared" si="29"/>
        <v>0.28217582107969885</v>
      </c>
      <c r="T101" s="2">
        <v>7.3592627010500566E-2</v>
      </c>
      <c r="U101" s="2">
        <v>2.7958236745225001E-2</v>
      </c>
      <c r="V101" s="3">
        <f t="shared" si="23"/>
        <v>1.7069220346985405E-2</v>
      </c>
      <c r="W101">
        <v>40</v>
      </c>
      <c r="X101">
        <f t="shared" si="22"/>
        <v>3.6888794541139363</v>
      </c>
    </row>
    <row r="102" spans="1:24" x14ac:dyDescent="0.45">
      <c r="A102" t="s">
        <v>9</v>
      </c>
      <c r="B102">
        <v>7</v>
      </c>
      <c r="C102">
        <v>2020</v>
      </c>
      <c r="D102">
        <v>160435177</v>
      </c>
      <c r="E102">
        <v>16819490</v>
      </c>
      <c r="F102">
        <v>1070181</v>
      </c>
      <c r="G102">
        <v>1131851</v>
      </c>
      <c r="H102">
        <v>4445587</v>
      </c>
      <c r="I102">
        <v>2534455</v>
      </c>
      <c r="J102">
        <v>100767406</v>
      </c>
      <c r="K102">
        <v>4.0399838659549498</v>
      </c>
      <c r="L102">
        <v>23.747196863397502</v>
      </c>
      <c r="M102">
        <v>26.4783455246633</v>
      </c>
      <c r="N102" s="2">
        <f t="shared" si="25"/>
        <v>2.9985185164258743</v>
      </c>
      <c r="O102" s="2">
        <v>0.498</v>
      </c>
      <c r="P102" s="2">
        <f t="shared" si="26"/>
        <v>18.893400537332258</v>
      </c>
      <c r="Q102" s="2">
        <f t="shared" si="27"/>
        <v>6.6704884802165302E-3</v>
      </c>
      <c r="R102" s="2">
        <f t="shared" si="28"/>
        <v>0.10483667182291324</v>
      </c>
      <c r="S102" s="2">
        <f t="shared" si="29"/>
        <v>0.25460102344189867</v>
      </c>
      <c r="T102" s="2">
        <v>2.8654132091227212E-2</v>
      </c>
      <c r="U102" s="2">
        <v>3.2209343665251404E-2</v>
      </c>
      <c r="V102" s="3">
        <f t="shared" si="23"/>
        <v>2.5151535606662338E-2</v>
      </c>
      <c r="W102">
        <v>81</v>
      </c>
      <c r="X102">
        <f t="shared" si="22"/>
        <v>4.3944491546724391</v>
      </c>
    </row>
    <row r="103" spans="1:24" x14ac:dyDescent="0.45">
      <c r="A103" t="s">
        <v>9</v>
      </c>
      <c r="B103">
        <v>7</v>
      </c>
      <c r="C103">
        <v>2021</v>
      </c>
      <c r="D103">
        <v>165831996</v>
      </c>
      <c r="E103">
        <v>17784908</v>
      </c>
      <c r="F103">
        <v>965437</v>
      </c>
      <c r="G103">
        <v>1185047</v>
      </c>
      <c r="H103">
        <v>4709349</v>
      </c>
      <c r="I103">
        <v>2247296</v>
      </c>
      <c r="J103">
        <v>114674630</v>
      </c>
      <c r="K103">
        <v>2.9295233226858799</v>
      </c>
      <c r="L103">
        <v>25.554737309897</v>
      </c>
      <c r="M103">
        <v>27.207097804316199</v>
      </c>
      <c r="N103" s="2">
        <f t="shared" si="25"/>
        <v>3.0124219372751626</v>
      </c>
      <c r="P103" s="2">
        <f t="shared" si="26"/>
        <v>18.926485761540686</v>
      </c>
      <c r="Q103" s="2">
        <f t="shared" si="27"/>
        <v>5.8217776019532444E-3</v>
      </c>
      <c r="R103" s="2">
        <f t="shared" si="28"/>
        <v>0.10724654125250956</v>
      </c>
      <c r="S103" s="2">
        <f t="shared" si="29"/>
        <v>0.25163711587312809</v>
      </c>
      <c r="T103" s="2">
        <v>2.5615641067098523E-2</v>
      </c>
      <c r="U103" s="2">
        <v>1.8347155481044399E-2</v>
      </c>
      <c r="V103" s="3">
        <f t="shared" ref="V103:V124" si="30">I103/J103</f>
        <v>1.9597150651369008E-2</v>
      </c>
      <c r="W103">
        <v>92</v>
      </c>
      <c r="X103">
        <f t="shared" si="22"/>
        <v>4.5217885770490405</v>
      </c>
    </row>
    <row r="104" spans="1:24" x14ac:dyDescent="0.45">
      <c r="A104" t="s">
        <v>9</v>
      </c>
      <c r="B104">
        <v>7</v>
      </c>
      <c r="C104">
        <v>2022</v>
      </c>
      <c r="D104">
        <v>185056051</v>
      </c>
      <c r="E104">
        <v>20479900</v>
      </c>
      <c r="F104">
        <v>2945752</v>
      </c>
      <c r="G104">
        <v>1696094</v>
      </c>
      <c r="H104">
        <v>7288065</v>
      </c>
      <c r="I104">
        <v>2346660</v>
      </c>
      <c r="J104">
        <v>130505614</v>
      </c>
      <c r="K104">
        <v>3.0268176838110499</v>
      </c>
      <c r="L104">
        <v>19.886983507523201</v>
      </c>
      <c r="M104">
        <v>27.746488205671799</v>
      </c>
      <c r="N104" s="2">
        <f t="shared" si="25"/>
        <v>3.1253578922847578</v>
      </c>
      <c r="O104" s="2">
        <v>0.52429999999999999</v>
      </c>
      <c r="P104" s="2">
        <f t="shared" si="26"/>
        <v>19.036169315532298</v>
      </c>
      <c r="Q104" s="2">
        <f t="shared" si="27"/>
        <v>1.59181609251999E-2</v>
      </c>
      <c r="R104" s="2">
        <f t="shared" si="28"/>
        <v>0.11066863195951372</v>
      </c>
      <c r="S104" s="2">
        <f t="shared" si="29"/>
        <v>0.23272212857596633</v>
      </c>
      <c r="T104" s="2">
        <v>8.0197923744283764E-2</v>
      </c>
      <c r="U104" s="2">
        <v>3.1565074996312899E-2</v>
      </c>
      <c r="V104" s="3">
        <f t="shared" si="30"/>
        <v>1.7981295425344691E-2</v>
      </c>
      <c r="W104">
        <v>0</v>
      </c>
      <c r="X104" t="e">
        <f t="shared" si="22"/>
        <v>#NUM!</v>
      </c>
    </row>
    <row r="105" spans="1:24" x14ac:dyDescent="0.45">
      <c r="A105" t="s">
        <v>9</v>
      </c>
      <c r="B105">
        <v>7</v>
      </c>
      <c r="C105">
        <v>2023</v>
      </c>
      <c r="D105">
        <v>201416835</v>
      </c>
      <c r="E105">
        <v>22444999</v>
      </c>
      <c r="F105">
        <v>2165099</v>
      </c>
      <c r="G105">
        <v>1957729</v>
      </c>
      <c r="H105">
        <v>6554833</v>
      </c>
      <c r="I105">
        <v>3726860</v>
      </c>
      <c r="J105">
        <v>140448924</v>
      </c>
      <c r="K105">
        <v>3.07187771218757</v>
      </c>
      <c r="L105">
        <v>19.004474740999601</v>
      </c>
      <c r="M105">
        <v>27.341668248477099</v>
      </c>
      <c r="N105" s="2">
        <f t="shared" si="25"/>
        <v>3.0899652684586316</v>
      </c>
      <c r="P105" s="2">
        <f t="shared" si="26"/>
        <v>19.120887124626201</v>
      </c>
      <c r="Q105" s="2">
        <f t="shared" si="27"/>
        <v>1.0749344760580714E-2</v>
      </c>
      <c r="R105" s="2">
        <f t="shared" si="28"/>
        <v>0.11143556594958907</v>
      </c>
      <c r="S105" s="2">
        <f t="shared" si="29"/>
        <v>0.29866954657731171</v>
      </c>
      <c r="T105" s="2">
        <v>5.0499999999999996E-2</v>
      </c>
      <c r="U105" s="2">
        <v>3.2500000000000001E-2</v>
      </c>
      <c r="V105" s="3">
        <f t="shared" si="30"/>
        <v>2.653534034906526E-2</v>
      </c>
      <c r="W105">
        <v>71</v>
      </c>
      <c r="X105">
        <f t="shared" si="22"/>
        <v>4.2626798770413155</v>
      </c>
    </row>
    <row r="106" spans="1:24" x14ac:dyDescent="0.45">
      <c r="A106" t="s">
        <v>9</v>
      </c>
      <c r="B106">
        <v>7</v>
      </c>
      <c r="C106">
        <v>2024</v>
      </c>
      <c r="D106">
        <v>239767994</v>
      </c>
      <c r="E106">
        <v>25099406</v>
      </c>
      <c r="F106">
        <v>3326804</v>
      </c>
      <c r="G106">
        <v>2634110</v>
      </c>
      <c r="H106">
        <v>8557635</v>
      </c>
      <c r="I106">
        <v>4180809</v>
      </c>
      <c r="J106">
        <v>165154897</v>
      </c>
      <c r="K106">
        <v>3.0966938195511502</v>
      </c>
      <c r="L106">
        <v>27.889422983664101</v>
      </c>
      <c r="M106">
        <v>27.243425052219401</v>
      </c>
      <c r="N106" s="2">
        <f t="shared" si="25"/>
        <v>3.0598248313692697</v>
      </c>
      <c r="P106" s="2">
        <f t="shared" si="26"/>
        <v>19.295182322091868</v>
      </c>
      <c r="Q106" s="2">
        <f t="shared" si="27"/>
        <v>1.3875096273274906E-2</v>
      </c>
      <c r="R106" s="2">
        <f t="shared" si="28"/>
        <v>0.10468205360220013</v>
      </c>
      <c r="S106" s="2">
        <f t="shared" si="29"/>
        <v>0.30780817363675828</v>
      </c>
      <c r="T106" s="2">
        <v>7.0900000000000005E-2</v>
      </c>
      <c r="U106" s="2">
        <v>3.6299999999999999E-2</v>
      </c>
      <c r="V106" s="3">
        <f t="shared" si="30"/>
        <v>2.5314471904517612E-2</v>
      </c>
      <c r="W106">
        <v>81</v>
      </c>
      <c r="X106">
        <f t="shared" si="22"/>
        <v>4.3944491546724391</v>
      </c>
    </row>
    <row r="107" spans="1:24" x14ac:dyDescent="0.45">
      <c r="A107" t="s">
        <v>10</v>
      </c>
      <c r="B107">
        <v>8</v>
      </c>
      <c r="C107">
        <v>2010</v>
      </c>
      <c r="D107">
        <v>34389227</v>
      </c>
      <c r="E107">
        <v>2357637</v>
      </c>
      <c r="F107">
        <v>269409</v>
      </c>
      <c r="G107">
        <v>188191</v>
      </c>
      <c r="H107">
        <v>710599</v>
      </c>
      <c r="I107">
        <v>97565</v>
      </c>
      <c r="J107">
        <v>11728193</v>
      </c>
      <c r="K107">
        <v>3.2718982631890698</v>
      </c>
      <c r="L107">
        <v>9.7075901186610398</v>
      </c>
      <c r="M107">
        <v>17.334389639963199</v>
      </c>
      <c r="N107" s="2">
        <f t="shared" ref="N107:N121" si="31">LN((Q107+R107)/(_xlfn.STDEV.S($Q$107:$Q$121)))</f>
        <v>2.5700853456148565</v>
      </c>
      <c r="P107" s="2">
        <f t="shared" si="26"/>
        <v>17.353253904691449</v>
      </c>
      <c r="Q107" s="2">
        <f t="shared" si="27"/>
        <v>7.834110374158744E-3</v>
      </c>
      <c r="R107" s="2">
        <f t="shared" si="28"/>
        <v>6.8557429336809458E-2</v>
      </c>
      <c r="S107" s="2">
        <f t="shared" si="29"/>
        <v>0.26483431583776507</v>
      </c>
      <c r="T107" s="2">
        <v>6.4232448223948205E-2</v>
      </c>
      <c r="U107" s="2">
        <v>9.20746648778413E-2</v>
      </c>
      <c r="V107" s="3">
        <f t="shared" si="30"/>
        <v>8.3188433205353962E-3</v>
      </c>
      <c r="W107">
        <v>4</v>
      </c>
      <c r="X107">
        <f t="shared" si="22"/>
        <v>1.3862943611198906</v>
      </c>
    </row>
    <row r="108" spans="1:24" x14ac:dyDescent="0.45">
      <c r="A108" t="s">
        <v>10</v>
      </c>
      <c r="B108">
        <v>8</v>
      </c>
      <c r="C108">
        <v>2011</v>
      </c>
      <c r="D108">
        <v>45025421</v>
      </c>
      <c r="E108">
        <v>3547631</v>
      </c>
      <c r="F108">
        <v>426496</v>
      </c>
      <c r="G108">
        <v>0</v>
      </c>
      <c r="H108">
        <v>1246686</v>
      </c>
      <c r="I108">
        <v>291896</v>
      </c>
      <c r="J108">
        <v>13847786</v>
      </c>
      <c r="K108">
        <v>3.59352181546691</v>
      </c>
      <c r="L108">
        <v>10.9472107468528</v>
      </c>
      <c r="M108">
        <v>19.912794817213701</v>
      </c>
      <c r="N108" s="2">
        <f t="shared" si="31"/>
        <v>2.7145465312887045</v>
      </c>
      <c r="P108" s="2">
        <f t="shared" si="26"/>
        <v>17.62273779934349</v>
      </c>
      <c r="Q108" s="2">
        <f t="shared" si="27"/>
        <v>9.4723378599835852E-3</v>
      </c>
      <c r="R108" s="2">
        <f t="shared" si="28"/>
        <v>7.8791734118377255E-2</v>
      </c>
      <c r="S108" s="2">
        <f t="shared" si="29"/>
        <v>0</v>
      </c>
      <c r="T108" s="2">
        <v>6.4131688968168274E-2</v>
      </c>
      <c r="U108" s="2">
        <v>0.18677732277070699</v>
      </c>
      <c r="V108" s="3">
        <f t="shared" si="30"/>
        <v>2.1078893044707652E-2</v>
      </c>
      <c r="W108">
        <v>1</v>
      </c>
      <c r="X108">
        <f t="shared" si="22"/>
        <v>0</v>
      </c>
    </row>
    <row r="109" spans="1:24" x14ac:dyDescent="0.45">
      <c r="A109" t="s">
        <v>10</v>
      </c>
      <c r="B109">
        <v>8</v>
      </c>
      <c r="C109">
        <v>2012</v>
      </c>
      <c r="D109">
        <v>52782831</v>
      </c>
      <c r="E109">
        <v>5393746</v>
      </c>
      <c r="F109">
        <v>326431</v>
      </c>
      <c r="G109">
        <v>672335</v>
      </c>
      <c r="H109">
        <v>1522408</v>
      </c>
      <c r="I109">
        <v>497560</v>
      </c>
      <c r="J109">
        <v>21147825</v>
      </c>
      <c r="K109">
        <v>3.1504539182237998</v>
      </c>
      <c r="L109">
        <v>12.0614890394782</v>
      </c>
      <c r="M109">
        <v>20.9770541106558</v>
      </c>
      <c r="N109" s="2">
        <f t="shared" si="31"/>
        <v>2.9197824529143177</v>
      </c>
      <c r="O109" s="2">
        <v>0.54579999999999995</v>
      </c>
      <c r="P109" s="2">
        <f t="shared" si="26"/>
        <v>17.781696525342568</v>
      </c>
      <c r="Q109" s="2">
        <f t="shared" si="27"/>
        <v>6.1844162924872296E-3</v>
      </c>
      <c r="R109" s="2">
        <f t="shared" si="28"/>
        <v>0.10218750866167069</v>
      </c>
      <c r="S109" s="2">
        <f t="shared" si="29"/>
        <v>0.44162602929043987</v>
      </c>
      <c r="T109" s="2">
        <v>5.5045447041188994E-2</v>
      </c>
      <c r="U109" s="2">
        <v>9.0947033955719195E-2</v>
      </c>
      <c r="V109" s="3">
        <f t="shared" si="30"/>
        <v>2.3527715025067588E-2</v>
      </c>
      <c r="W109">
        <v>0</v>
      </c>
      <c r="X109" t="e">
        <f t="shared" si="22"/>
        <v>#NUM!</v>
      </c>
    </row>
    <row r="110" spans="1:24" x14ac:dyDescent="0.45">
      <c r="A110" t="s">
        <v>10</v>
      </c>
      <c r="B110">
        <v>8</v>
      </c>
      <c r="C110">
        <v>2013</v>
      </c>
      <c r="D110">
        <v>86226641</v>
      </c>
      <c r="E110">
        <v>8599548</v>
      </c>
      <c r="F110">
        <v>217596</v>
      </c>
      <c r="G110">
        <v>1241385</v>
      </c>
      <c r="H110">
        <v>1550758</v>
      </c>
      <c r="I110">
        <v>1553086</v>
      </c>
      <c r="J110">
        <v>44030492</v>
      </c>
      <c r="K110">
        <v>3.6926464082046402</v>
      </c>
      <c r="L110">
        <v>12.840142796842899</v>
      </c>
      <c r="M110">
        <v>22.1573299611807</v>
      </c>
      <c r="N110" s="2">
        <f t="shared" si="31"/>
        <v>2.8616874891358162</v>
      </c>
      <c r="O110" s="2">
        <v>0.57040000000000002</v>
      </c>
      <c r="P110" s="2">
        <f t="shared" si="26"/>
        <v>18.272489748209445</v>
      </c>
      <c r="Q110" s="2">
        <f t="shared" si="27"/>
        <v>2.5235356205050362E-3</v>
      </c>
      <c r="R110" s="2">
        <f t="shared" si="28"/>
        <v>9.9731914641091032E-2</v>
      </c>
      <c r="S110" s="2">
        <f t="shared" si="29"/>
        <v>0.8005020770487723</v>
      </c>
      <c r="T110" s="2">
        <v>5.5535108102607179E-2</v>
      </c>
      <c r="U110" s="2">
        <v>6.5926747589919191E-2</v>
      </c>
      <c r="V110" s="3">
        <f t="shared" si="30"/>
        <v>3.5272964926215226E-2</v>
      </c>
      <c r="W110">
        <v>0</v>
      </c>
      <c r="X110" t="e">
        <f t="shared" si="22"/>
        <v>#NUM!</v>
      </c>
    </row>
    <row r="111" spans="1:24" x14ac:dyDescent="0.45">
      <c r="A111" t="s">
        <v>10</v>
      </c>
      <c r="B111">
        <v>8</v>
      </c>
      <c r="C111">
        <v>2014</v>
      </c>
      <c r="D111">
        <v>99524603</v>
      </c>
      <c r="E111">
        <v>9198842</v>
      </c>
      <c r="F111">
        <v>476877</v>
      </c>
      <c r="G111">
        <v>1269679</v>
      </c>
      <c r="H111">
        <v>2898822</v>
      </c>
      <c r="I111">
        <v>953676</v>
      </c>
      <c r="J111">
        <v>41992591</v>
      </c>
      <c r="K111">
        <v>3.8792484082456702</v>
      </c>
      <c r="L111">
        <v>14.6258764318214</v>
      </c>
      <c r="M111">
        <v>22.979955992336901</v>
      </c>
      <c r="N111" s="2">
        <f t="shared" si="31"/>
        <v>2.811183342792877</v>
      </c>
      <c r="O111" s="2">
        <v>0.42799999999999999</v>
      </c>
      <c r="P111" s="2">
        <f t="shared" si="26"/>
        <v>18.415915437895197</v>
      </c>
      <c r="Q111" s="2">
        <f t="shared" si="27"/>
        <v>4.7915488796272821E-3</v>
      </c>
      <c r="R111" s="2">
        <f t="shared" si="28"/>
        <v>9.2427819079067317E-2</v>
      </c>
      <c r="S111" s="2">
        <f t="shared" si="29"/>
        <v>0.43799826274258991</v>
      </c>
      <c r="T111" s="2">
        <v>6.4222431211856723E-2</v>
      </c>
      <c r="U111" s="2">
        <v>4.0845544663761703E-2</v>
      </c>
      <c r="V111" s="3">
        <f t="shared" si="30"/>
        <v>2.2710577682620251E-2</v>
      </c>
      <c r="W111">
        <v>0</v>
      </c>
      <c r="X111" t="e">
        <f t="shared" si="22"/>
        <v>#NUM!</v>
      </c>
    </row>
    <row r="112" spans="1:24" x14ac:dyDescent="0.45">
      <c r="A112" t="s">
        <v>10</v>
      </c>
      <c r="B112">
        <v>8</v>
      </c>
      <c r="C112">
        <v>2015</v>
      </c>
      <c r="D112">
        <v>106485935</v>
      </c>
      <c r="E112">
        <v>9841679</v>
      </c>
      <c r="F112">
        <v>630111</v>
      </c>
      <c r="G112">
        <v>887927</v>
      </c>
      <c r="H112">
        <v>4132637</v>
      </c>
      <c r="I112">
        <v>897091</v>
      </c>
      <c r="J112">
        <v>56558835</v>
      </c>
      <c r="K112">
        <v>3.7957611751290998</v>
      </c>
      <c r="L112">
        <v>15.8219673058815</v>
      </c>
      <c r="M112">
        <v>24.006275960852001</v>
      </c>
      <c r="N112" s="2">
        <f t="shared" si="31"/>
        <v>2.822640735553974</v>
      </c>
      <c r="O112" s="2">
        <v>0.60499999999999998</v>
      </c>
      <c r="P112" s="2">
        <f t="shared" si="26"/>
        <v>18.483523468664607</v>
      </c>
      <c r="Q112" s="2">
        <f t="shared" si="27"/>
        <v>5.9173166860017707E-3</v>
      </c>
      <c r="R112" s="2">
        <f t="shared" si="28"/>
        <v>9.2422337278627448E-2</v>
      </c>
      <c r="S112" s="2">
        <f t="shared" si="29"/>
        <v>0.21485724490198388</v>
      </c>
      <c r="T112" s="2">
        <v>6.9871543059861096E-2</v>
      </c>
      <c r="U112" s="2">
        <v>6.3120090517575396E-3</v>
      </c>
      <c r="V112" s="3">
        <f t="shared" si="30"/>
        <v>1.5861200111353072E-2</v>
      </c>
      <c r="W112">
        <v>29</v>
      </c>
      <c r="X112">
        <f t="shared" si="22"/>
        <v>3.3672958299864741</v>
      </c>
    </row>
    <row r="113" spans="1:24" x14ac:dyDescent="0.45">
      <c r="A113" t="s">
        <v>10</v>
      </c>
      <c r="B113">
        <v>8</v>
      </c>
      <c r="C113">
        <v>2016</v>
      </c>
      <c r="D113">
        <v>150294272</v>
      </c>
      <c r="E113">
        <v>9942643</v>
      </c>
      <c r="F113">
        <v>914498</v>
      </c>
      <c r="G113">
        <v>740146</v>
      </c>
      <c r="H113">
        <v>5418226</v>
      </c>
      <c r="I113">
        <v>1198781</v>
      </c>
      <c r="J113">
        <v>82224372</v>
      </c>
      <c r="K113">
        <v>3.8729071718276198</v>
      </c>
      <c r="L113">
        <v>18.127194558590599</v>
      </c>
      <c r="M113">
        <v>24.4994330579914</v>
      </c>
      <c r="N113" s="2">
        <f t="shared" si="31"/>
        <v>2.5141965059151583</v>
      </c>
      <c r="O113" s="2">
        <v>0.4093</v>
      </c>
      <c r="P113" s="2">
        <f t="shared" si="26"/>
        <v>18.828105743551205</v>
      </c>
      <c r="Q113" s="2">
        <f t="shared" si="27"/>
        <v>6.084716255853051E-3</v>
      </c>
      <c r="R113" s="2">
        <f t="shared" si="28"/>
        <v>6.6154503878897E-2</v>
      </c>
      <c r="S113" s="2">
        <f t="shared" si="29"/>
        <v>0.13660301360629845</v>
      </c>
      <c r="T113" s="2">
        <v>6.6900089266042351E-2</v>
      </c>
      <c r="U113" s="2">
        <v>2.6682481696908199E-2</v>
      </c>
      <c r="V113" s="3">
        <f t="shared" si="30"/>
        <v>1.4579387727035483E-2</v>
      </c>
      <c r="W113">
        <v>30</v>
      </c>
      <c r="X113">
        <f t="shared" si="22"/>
        <v>3.4011973816621555</v>
      </c>
    </row>
    <row r="114" spans="1:24" x14ac:dyDescent="0.45">
      <c r="A114" t="s">
        <v>10</v>
      </c>
      <c r="B114">
        <v>8</v>
      </c>
      <c r="C114">
        <v>2017</v>
      </c>
      <c r="D114">
        <v>189334271</v>
      </c>
      <c r="E114">
        <v>14759106</v>
      </c>
      <c r="F114">
        <v>1954407</v>
      </c>
      <c r="G114">
        <v>1158519</v>
      </c>
      <c r="H114">
        <v>7505819</v>
      </c>
      <c r="I114">
        <v>1583241</v>
      </c>
      <c r="J114">
        <v>104497028</v>
      </c>
      <c r="K114">
        <v>3.4878659520670099</v>
      </c>
      <c r="L114">
        <v>19.9794949903735</v>
      </c>
      <c r="M114">
        <v>24.408110955118602</v>
      </c>
      <c r="N114" s="2">
        <f t="shared" si="31"/>
        <v>2.714672142722689</v>
      </c>
      <c r="O114" s="2">
        <v>0.52159999999999995</v>
      </c>
      <c r="P114" s="2">
        <f t="shared" si="26"/>
        <v>19.05902464046984</v>
      </c>
      <c r="Q114" s="2">
        <f t="shared" si="27"/>
        <v>1.0322521061176504E-2</v>
      </c>
      <c r="R114" s="2">
        <f t="shared" si="28"/>
        <v>7.7952638590189513E-2</v>
      </c>
      <c r="S114" s="2">
        <f t="shared" si="29"/>
        <v>0.15434944541028767</v>
      </c>
      <c r="T114" s="2">
        <v>6.9401903735920603E-2</v>
      </c>
      <c r="U114" s="2">
        <v>3.5202568881161703E-2</v>
      </c>
      <c r="V114" s="3">
        <f t="shared" si="30"/>
        <v>1.515106247806397E-2</v>
      </c>
      <c r="W114">
        <v>42</v>
      </c>
      <c r="X114">
        <f t="shared" si="22"/>
        <v>3.7376696182833684</v>
      </c>
    </row>
    <row r="115" spans="1:24" x14ac:dyDescent="0.45">
      <c r="A115" t="s">
        <v>10</v>
      </c>
      <c r="B115">
        <v>8</v>
      </c>
      <c r="C115">
        <v>2018</v>
      </c>
      <c r="D115">
        <v>216057406</v>
      </c>
      <c r="E115">
        <v>16828140</v>
      </c>
      <c r="F115">
        <v>3201511</v>
      </c>
      <c r="G115">
        <v>1794662</v>
      </c>
      <c r="H115">
        <v>9440355</v>
      </c>
      <c r="I115">
        <v>1884950</v>
      </c>
      <c r="J115">
        <v>123131648</v>
      </c>
      <c r="K115">
        <v>3.9598095587873798</v>
      </c>
      <c r="L115">
        <v>20.511087535654799</v>
      </c>
      <c r="M115">
        <v>25.6092485278987</v>
      </c>
      <c r="N115" s="2">
        <f t="shared" si="31"/>
        <v>2.7636382560929578</v>
      </c>
      <c r="O115" s="2">
        <v>0.48930000000000001</v>
      </c>
      <c r="P115" s="2">
        <f t="shared" si="26"/>
        <v>19.19105469885676</v>
      </c>
      <c r="Q115" s="2">
        <f t="shared" si="27"/>
        <v>1.4817872061279862E-2</v>
      </c>
      <c r="R115" s="2">
        <f t="shared" si="28"/>
        <v>7.7887355548460116E-2</v>
      </c>
      <c r="S115" s="2">
        <f t="shared" si="29"/>
        <v>0.19010535091106215</v>
      </c>
      <c r="T115" s="2">
        <v>7.4650068557275087E-2</v>
      </c>
      <c r="U115" s="2">
        <v>3.5396280594264098E-2</v>
      </c>
      <c r="V115" s="3">
        <f t="shared" si="30"/>
        <v>1.5308412017680458E-2</v>
      </c>
      <c r="W115">
        <v>104</v>
      </c>
      <c r="X115">
        <f t="shared" si="22"/>
        <v>4.6443908991413725</v>
      </c>
    </row>
    <row r="116" spans="1:24" x14ac:dyDescent="0.45">
      <c r="A116" t="s">
        <v>10</v>
      </c>
      <c r="B116">
        <v>8</v>
      </c>
      <c r="C116">
        <v>2019</v>
      </c>
      <c r="D116">
        <v>229477262</v>
      </c>
      <c r="E116">
        <v>20381116</v>
      </c>
      <c r="F116">
        <v>4020334</v>
      </c>
      <c r="G116">
        <v>1641433</v>
      </c>
      <c r="H116">
        <v>11387988</v>
      </c>
      <c r="I116">
        <v>1996665</v>
      </c>
      <c r="J116">
        <v>146324378</v>
      </c>
      <c r="K116">
        <v>4.0230286341449499</v>
      </c>
      <c r="L116">
        <v>21.918245362198</v>
      </c>
      <c r="M116">
        <v>26.1660509841828</v>
      </c>
      <c r="N116" s="2">
        <f t="shared" si="31"/>
        <v>2.9008072797472146</v>
      </c>
      <c r="O116" s="2">
        <v>0.4274</v>
      </c>
      <c r="P116" s="2">
        <f t="shared" si="26"/>
        <v>19.251314506303775</v>
      </c>
      <c r="Q116" s="2">
        <f t="shared" si="27"/>
        <v>1.7519530976450294E-2</v>
      </c>
      <c r="R116" s="2">
        <f t="shared" si="28"/>
        <v>8.8815405162015568E-2</v>
      </c>
      <c r="S116" s="2">
        <f t="shared" si="29"/>
        <v>0.14413722599637444</v>
      </c>
      <c r="T116" s="2">
        <v>7.3592627010500566E-2</v>
      </c>
      <c r="U116" s="2">
        <v>2.7958236745225001E-2</v>
      </c>
      <c r="V116" s="3">
        <f t="shared" si="30"/>
        <v>1.3645470613242587E-2</v>
      </c>
      <c r="W116">
        <v>0</v>
      </c>
      <c r="X116" t="e">
        <f t="shared" si="22"/>
        <v>#NUM!</v>
      </c>
    </row>
    <row r="117" spans="1:24" x14ac:dyDescent="0.45">
      <c r="A117" t="s">
        <v>10</v>
      </c>
      <c r="B117">
        <v>8</v>
      </c>
      <c r="C117">
        <v>2020</v>
      </c>
      <c r="D117">
        <v>319127480</v>
      </c>
      <c r="E117">
        <v>24704048</v>
      </c>
      <c r="F117">
        <v>4647097</v>
      </c>
      <c r="G117">
        <v>1881730</v>
      </c>
      <c r="H117">
        <v>13779435</v>
      </c>
      <c r="I117">
        <v>2357348</v>
      </c>
      <c r="J117">
        <v>178323092</v>
      </c>
      <c r="K117">
        <v>4.0399838659549498</v>
      </c>
      <c r="L117">
        <v>23.747196863397502</v>
      </c>
      <c r="M117">
        <v>26.4783455246633</v>
      </c>
      <c r="N117" s="2">
        <f t="shared" si="31"/>
        <v>2.7557095819809594</v>
      </c>
      <c r="O117" s="2">
        <v>0.57150000000000001</v>
      </c>
      <c r="P117" s="2">
        <f t="shared" si="26"/>
        <v>19.581101204745238</v>
      </c>
      <c r="Q117" s="2">
        <f t="shared" si="27"/>
        <v>1.4561882919014058E-2</v>
      </c>
      <c r="R117" s="2">
        <f t="shared" si="28"/>
        <v>7.7411221371471994E-2</v>
      </c>
      <c r="S117" s="2">
        <f t="shared" si="29"/>
        <v>0.13656075158379136</v>
      </c>
      <c r="T117" s="2">
        <v>2.8654132091227212E-2</v>
      </c>
      <c r="U117" s="2">
        <v>3.2209343665251404E-2</v>
      </c>
      <c r="V117" s="3">
        <f t="shared" si="30"/>
        <v>1.3219533003611221E-2</v>
      </c>
      <c r="W117">
        <v>0</v>
      </c>
      <c r="X117" t="e">
        <f t="shared" si="22"/>
        <v>#NUM!</v>
      </c>
    </row>
    <row r="118" spans="1:24" x14ac:dyDescent="0.45">
      <c r="A118" t="s">
        <v>10</v>
      </c>
      <c r="B118">
        <v>8</v>
      </c>
      <c r="C118">
        <v>2021</v>
      </c>
      <c r="D118">
        <v>374611571</v>
      </c>
      <c r="E118">
        <v>30790113</v>
      </c>
      <c r="F118">
        <v>6453499</v>
      </c>
      <c r="G118">
        <v>2867468</v>
      </c>
      <c r="H118">
        <v>16758245</v>
      </c>
      <c r="I118">
        <v>3360073</v>
      </c>
      <c r="J118">
        <v>203210901</v>
      </c>
      <c r="K118">
        <v>2.9295233226858799</v>
      </c>
      <c r="L118">
        <v>25.554737309897</v>
      </c>
      <c r="M118">
        <v>27.207097804316199</v>
      </c>
      <c r="N118" s="2">
        <f t="shared" si="31"/>
        <v>2.8335594330291758</v>
      </c>
      <c r="P118" s="2">
        <f t="shared" si="26"/>
        <v>19.741400236445418</v>
      </c>
      <c r="Q118" s="2">
        <f t="shared" si="27"/>
        <v>1.7227174758037572E-2</v>
      </c>
      <c r="R118" s="2">
        <f t="shared" si="28"/>
        <v>8.2192103457477031E-2</v>
      </c>
      <c r="S118" s="2">
        <f t="shared" si="29"/>
        <v>0.17110789345781732</v>
      </c>
      <c r="T118" s="2">
        <v>2.5615641067098523E-2</v>
      </c>
      <c r="U118" s="2">
        <v>1.8347155481044399E-2</v>
      </c>
      <c r="V118" s="3">
        <f t="shared" si="30"/>
        <v>1.6534905280499692E-2</v>
      </c>
      <c r="W118">
        <v>217</v>
      </c>
      <c r="X118">
        <f t="shared" si="22"/>
        <v>5.3798973535404597</v>
      </c>
    </row>
    <row r="119" spans="1:24" x14ac:dyDescent="0.45">
      <c r="A119" t="s">
        <v>10</v>
      </c>
      <c r="B119">
        <v>8</v>
      </c>
      <c r="C119">
        <v>2022</v>
      </c>
      <c r="D119">
        <v>416273023</v>
      </c>
      <c r="E119">
        <v>38994886</v>
      </c>
      <c r="F119">
        <v>8209470</v>
      </c>
      <c r="G119">
        <v>3955536</v>
      </c>
      <c r="H119">
        <v>21967104</v>
      </c>
      <c r="I119">
        <v>4404191</v>
      </c>
      <c r="J119">
        <v>263856383</v>
      </c>
      <c r="K119">
        <v>3.0268176838110499</v>
      </c>
      <c r="L119">
        <v>19.886983507523201</v>
      </c>
      <c r="M119">
        <v>27.746488205671799</v>
      </c>
      <c r="N119" s="2">
        <f t="shared" si="31"/>
        <v>2.9651134975169398</v>
      </c>
      <c r="O119" s="2">
        <v>0.61109999999999998</v>
      </c>
      <c r="P119" s="2">
        <f t="shared" si="26"/>
        <v>19.84685190823987</v>
      </c>
      <c r="Q119" s="2">
        <f t="shared" si="27"/>
        <v>1.9721359651980137E-2</v>
      </c>
      <c r="R119" s="2">
        <f t="shared" si="28"/>
        <v>9.3676226527895853E-2</v>
      </c>
      <c r="S119" s="2">
        <f t="shared" si="29"/>
        <v>0.18006633919518933</v>
      </c>
      <c r="T119" s="2">
        <v>8.0197923744283764E-2</v>
      </c>
      <c r="U119" s="2">
        <v>3.1565074996312899E-2</v>
      </c>
      <c r="V119" s="3">
        <f t="shared" si="30"/>
        <v>1.6691621972245409E-2</v>
      </c>
      <c r="W119">
        <v>217</v>
      </c>
      <c r="X119">
        <f t="shared" si="22"/>
        <v>5.3798973535404597</v>
      </c>
    </row>
    <row r="120" spans="1:24" x14ac:dyDescent="0.45">
      <c r="A120" t="s">
        <v>10</v>
      </c>
      <c r="B120">
        <v>8</v>
      </c>
      <c r="C120">
        <v>2023</v>
      </c>
      <c r="D120">
        <v>602314859</v>
      </c>
      <c r="E120">
        <v>46400322</v>
      </c>
      <c r="F120">
        <v>10336013</v>
      </c>
      <c r="G120">
        <v>4229711</v>
      </c>
      <c r="H120">
        <v>26413685</v>
      </c>
      <c r="I120">
        <v>6159963</v>
      </c>
      <c r="J120">
        <v>343404295</v>
      </c>
      <c r="K120">
        <v>3.07187771218757</v>
      </c>
      <c r="L120">
        <v>19.004474740999601</v>
      </c>
      <c r="M120">
        <v>27.341668248477099</v>
      </c>
      <c r="N120" s="2">
        <f t="shared" si="31"/>
        <v>2.7796031755630284</v>
      </c>
      <c r="P120" s="2">
        <f t="shared" si="26"/>
        <v>20.216290888139657</v>
      </c>
      <c r="Q120" s="2">
        <f t="shared" si="27"/>
        <v>1.7160481508227243E-2</v>
      </c>
      <c r="R120" s="2">
        <f t="shared" si="28"/>
        <v>7.7036655009701499E-2</v>
      </c>
      <c r="S120" s="2">
        <f t="shared" si="29"/>
        <v>0.16013331725580887</v>
      </c>
      <c r="T120" s="2">
        <v>5.0499999999999996E-2</v>
      </c>
      <c r="U120" s="2">
        <v>3.2500000000000001E-2</v>
      </c>
      <c r="V120" s="3">
        <f t="shared" si="30"/>
        <v>1.793793231386346E-2</v>
      </c>
      <c r="W120">
        <v>182</v>
      </c>
      <c r="X120">
        <f t="shared" si="22"/>
        <v>5.2040066870767951</v>
      </c>
    </row>
    <row r="121" spans="1:24" x14ac:dyDescent="0.45">
      <c r="A121" t="s">
        <v>10</v>
      </c>
      <c r="B121">
        <v>8</v>
      </c>
      <c r="C121">
        <v>2024</v>
      </c>
      <c r="D121">
        <v>697366458</v>
      </c>
      <c r="E121">
        <v>56657261</v>
      </c>
      <c r="F121">
        <v>13247648</v>
      </c>
      <c r="G121">
        <v>3175108</v>
      </c>
      <c r="H121">
        <v>34032184</v>
      </c>
      <c r="I121">
        <v>8556231</v>
      </c>
      <c r="J121">
        <v>442484841</v>
      </c>
      <c r="K121">
        <v>3.0966938195511502</v>
      </c>
      <c r="L121">
        <v>27.889422983664101</v>
      </c>
      <c r="M121">
        <v>27.243425052219401</v>
      </c>
      <c r="N121" s="2">
        <f t="shared" si="31"/>
        <v>2.8417935096954068</v>
      </c>
      <c r="P121" s="2">
        <f t="shared" si="26"/>
        <v>20.362821595264844</v>
      </c>
      <c r="Q121" s="2">
        <f t="shared" si="27"/>
        <v>1.8996680795335872E-2</v>
      </c>
      <c r="R121" s="2">
        <f t="shared" si="28"/>
        <v>8.1244602963109536E-2</v>
      </c>
      <c r="S121" s="2">
        <f t="shared" si="29"/>
        <v>9.3297215365314198E-2</v>
      </c>
      <c r="T121" s="2">
        <v>7.0900000000000005E-2</v>
      </c>
      <c r="U121" s="2">
        <v>3.6299999999999999E-2</v>
      </c>
      <c r="V121" s="3">
        <f t="shared" si="30"/>
        <v>1.9336777686356943E-2</v>
      </c>
      <c r="W121">
        <v>130</v>
      </c>
      <c r="X121">
        <f t="shared" si="22"/>
        <v>4.8675344504555822</v>
      </c>
    </row>
    <row r="122" spans="1:24" x14ac:dyDescent="0.45">
      <c r="A122" t="s">
        <v>11</v>
      </c>
      <c r="B122">
        <v>9</v>
      </c>
      <c r="C122">
        <v>2010</v>
      </c>
      <c r="D122">
        <v>12627784</v>
      </c>
      <c r="E122">
        <v>3224995</v>
      </c>
      <c r="F122">
        <v>195347</v>
      </c>
      <c r="G122">
        <v>0</v>
      </c>
      <c r="H122">
        <v>473821</v>
      </c>
      <c r="I122">
        <v>77717</v>
      </c>
      <c r="J122">
        <v>7008436</v>
      </c>
      <c r="K122">
        <v>3.2718982631890698</v>
      </c>
      <c r="L122">
        <v>9.7075901186610398</v>
      </c>
      <c r="M122">
        <v>17.334389639963199</v>
      </c>
      <c r="N122" s="2">
        <f t="shared" ref="N122:N136" si="32">LN((Q122+R122)/(_xlfn.STDEV.S($Q$122:$Q$136)))</f>
        <v>3.7936831057863212</v>
      </c>
      <c r="O122" s="2">
        <v>0.60170000000000001</v>
      </c>
      <c r="P122" s="2">
        <f t="shared" si="26"/>
        <v>16.351410023667356</v>
      </c>
      <c r="Q122" s="2">
        <f t="shared" si="27"/>
        <v>1.5469618422361359E-2</v>
      </c>
      <c r="R122" s="2">
        <f t="shared" si="28"/>
        <v>0.25538883148460567</v>
      </c>
      <c r="S122" s="2">
        <f t="shared" si="29"/>
        <v>0</v>
      </c>
      <c r="T122" s="2">
        <v>6.4232448223948205E-2</v>
      </c>
      <c r="U122" s="2">
        <v>9.20746648778413E-2</v>
      </c>
      <c r="V122" s="3">
        <f t="shared" si="30"/>
        <v>1.1089064664355927E-2</v>
      </c>
      <c r="W122">
        <v>7</v>
      </c>
      <c r="X122">
        <f t="shared" si="22"/>
        <v>1.9459101490553132</v>
      </c>
    </row>
    <row r="123" spans="1:24" x14ac:dyDescent="0.45">
      <c r="A123" t="s">
        <v>11</v>
      </c>
      <c r="B123">
        <v>9</v>
      </c>
      <c r="C123">
        <v>2011</v>
      </c>
      <c r="D123">
        <v>17849201</v>
      </c>
      <c r="E123">
        <v>3456133</v>
      </c>
      <c r="F123">
        <v>394616</v>
      </c>
      <c r="G123">
        <v>37886</v>
      </c>
      <c r="H123">
        <v>915150</v>
      </c>
      <c r="I123">
        <v>233062</v>
      </c>
      <c r="J123">
        <v>8403856</v>
      </c>
      <c r="K123">
        <v>3.59352181546691</v>
      </c>
      <c r="L123">
        <v>10.9472107468528</v>
      </c>
      <c r="M123">
        <v>19.912794817213701</v>
      </c>
      <c r="N123" s="2">
        <f t="shared" si="32"/>
        <v>3.56615095492824</v>
      </c>
      <c r="O123" s="2">
        <v>0.50860000000000005</v>
      </c>
      <c r="P123" s="2">
        <f t="shared" si="26"/>
        <v>16.697469303283317</v>
      </c>
      <c r="Q123" s="2">
        <f t="shared" si="27"/>
        <v>2.2108328546471073E-2</v>
      </c>
      <c r="R123" s="2">
        <f t="shared" si="28"/>
        <v>0.19362956358662778</v>
      </c>
      <c r="S123" s="2">
        <f t="shared" si="29"/>
        <v>4.1398677812380484E-2</v>
      </c>
      <c r="T123" s="2">
        <v>6.4131688968168274E-2</v>
      </c>
      <c r="U123" s="2">
        <v>0.18677732277070699</v>
      </c>
      <c r="V123" s="3">
        <f t="shared" si="30"/>
        <v>2.7732745539666554E-2</v>
      </c>
      <c r="W123">
        <v>11</v>
      </c>
      <c r="X123">
        <f t="shared" si="22"/>
        <v>2.3978952727983707</v>
      </c>
    </row>
    <row r="124" spans="1:24" x14ac:dyDescent="0.45">
      <c r="A124" t="s">
        <v>11</v>
      </c>
      <c r="B124">
        <v>9</v>
      </c>
      <c r="C124">
        <v>2012</v>
      </c>
      <c r="D124">
        <v>18580999</v>
      </c>
      <c r="E124">
        <v>3444867</v>
      </c>
      <c r="F124">
        <v>351025</v>
      </c>
      <c r="G124">
        <v>30301</v>
      </c>
      <c r="H124">
        <v>1108398</v>
      </c>
      <c r="I124">
        <v>283319</v>
      </c>
      <c r="J124">
        <v>9683477</v>
      </c>
      <c r="K124">
        <v>3.1504539182237998</v>
      </c>
      <c r="L124">
        <v>12.0614890394782</v>
      </c>
      <c r="M124">
        <v>20.9770541106558</v>
      </c>
      <c r="N124" s="2">
        <f t="shared" si="32"/>
        <v>3.5116219553242476</v>
      </c>
      <c r="O124" s="2">
        <v>0.46279999999999999</v>
      </c>
      <c r="P124" s="2">
        <f t="shared" si="26"/>
        <v>16.737650057396472</v>
      </c>
      <c r="Q124" s="2">
        <f t="shared" si="27"/>
        <v>1.8891610725558942E-2</v>
      </c>
      <c r="R124" s="2">
        <f t="shared" si="28"/>
        <v>0.18539729752958922</v>
      </c>
      <c r="S124" s="2">
        <f t="shared" si="29"/>
        <v>2.7337653081293902E-2</v>
      </c>
      <c r="T124" s="2">
        <v>5.5045447041188994E-2</v>
      </c>
      <c r="U124" s="2">
        <v>9.0947033955719195E-2</v>
      </c>
      <c r="V124" s="3">
        <f t="shared" si="30"/>
        <v>2.9257982437506692E-2</v>
      </c>
      <c r="W124">
        <v>6</v>
      </c>
      <c r="X124">
        <f t="shared" si="22"/>
        <v>1.791759469228055</v>
      </c>
    </row>
    <row r="125" spans="1:24" x14ac:dyDescent="0.45">
      <c r="A125" t="s">
        <v>11</v>
      </c>
      <c r="B125">
        <v>9</v>
      </c>
      <c r="C125">
        <v>2013</v>
      </c>
      <c r="D125">
        <v>21372115</v>
      </c>
      <c r="E125">
        <v>3475705</v>
      </c>
      <c r="F125">
        <v>313427</v>
      </c>
      <c r="G125">
        <v>29065</v>
      </c>
      <c r="H125">
        <v>1063424</v>
      </c>
      <c r="J125">
        <v>12128627</v>
      </c>
      <c r="K125">
        <v>3.6926464082046402</v>
      </c>
      <c r="L125">
        <v>12.840142796842899</v>
      </c>
      <c r="M125">
        <v>22.1573299611807</v>
      </c>
      <c r="N125" s="2">
        <f t="shared" si="32"/>
        <v>3.3698919595790295</v>
      </c>
      <c r="O125" s="2">
        <v>0.57379999999999998</v>
      </c>
      <c r="P125" s="2">
        <f t="shared" si="26"/>
        <v>16.877597592917493</v>
      </c>
      <c r="Q125" s="2">
        <f t="shared" si="27"/>
        <v>1.4665230839343697E-2</v>
      </c>
      <c r="R125" s="2">
        <f t="shared" si="28"/>
        <v>0.16262803190044597</v>
      </c>
      <c r="S125" s="2">
        <f t="shared" si="29"/>
        <v>2.7331525337024553E-2</v>
      </c>
      <c r="T125" s="2">
        <v>5.5535108102607179E-2</v>
      </c>
      <c r="U125" s="2">
        <v>6.5926747589919191E-2</v>
      </c>
      <c r="W125">
        <v>20</v>
      </c>
      <c r="X125">
        <f t="shared" si="22"/>
        <v>2.9957322735539909</v>
      </c>
    </row>
    <row r="126" spans="1:24" x14ac:dyDescent="0.45">
      <c r="A126" t="s">
        <v>11</v>
      </c>
      <c r="B126">
        <v>9</v>
      </c>
      <c r="C126">
        <v>2014</v>
      </c>
      <c r="D126">
        <v>23103926</v>
      </c>
      <c r="E126">
        <v>3364108</v>
      </c>
      <c r="F126">
        <v>175913</v>
      </c>
      <c r="G126">
        <v>7800</v>
      </c>
      <c r="H126">
        <v>801517</v>
      </c>
      <c r="I126">
        <v>264225</v>
      </c>
      <c r="J126">
        <v>13526467</v>
      </c>
      <c r="K126">
        <v>3.8792484082456702</v>
      </c>
      <c r="L126">
        <v>14.6258764318214</v>
      </c>
      <c r="M126">
        <v>22.979955992336901</v>
      </c>
      <c r="N126" s="2">
        <f t="shared" si="32"/>
        <v>3.2239721249493352</v>
      </c>
      <c r="O126" s="2">
        <v>0.49270000000000003</v>
      </c>
      <c r="P126" s="2">
        <f t="shared" si="26"/>
        <v>16.955513117760972</v>
      </c>
      <c r="Q126" s="2">
        <f t="shared" si="27"/>
        <v>7.6139873370439292E-3</v>
      </c>
      <c r="R126" s="2">
        <f t="shared" si="28"/>
        <v>0.14560763395796888</v>
      </c>
      <c r="S126" s="2">
        <f t="shared" si="29"/>
        <v>9.7315465548453751E-3</v>
      </c>
      <c r="T126" s="2">
        <v>6.4222431211856723E-2</v>
      </c>
      <c r="U126" s="2">
        <v>4.0845544663761703E-2</v>
      </c>
      <c r="V126" s="3">
        <f t="shared" ref="V126:V138" si="33">I126/J126</f>
        <v>1.9533925599345341E-2</v>
      </c>
      <c r="W126">
        <v>30</v>
      </c>
      <c r="X126">
        <f t="shared" si="22"/>
        <v>3.4011973816621555</v>
      </c>
    </row>
    <row r="127" spans="1:24" x14ac:dyDescent="0.45">
      <c r="A127" t="s">
        <v>11</v>
      </c>
      <c r="B127">
        <v>9</v>
      </c>
      <c r="C127">
        <v>2015</v>
      </c>
      <c r="D127">
        <v>25322238</v>
      </c>
      <c r="E127">
        <v>3373347</v>
      </c>
      <c r="F127">
        <v>165235</v>
      </c>
      <c r="G127">
        <v>26682</v>
      </c>
      <c r="H127">
        <v>849242</v>
      </c>
      <c r="I127">
        <v>182562</v>
      </c>
      <c r="J127">
        <v>16217984</v>
      </c>
      <c r="K127">
        <v>3.7957611751290998</v>
      </c>
      <c r="L127">
        <v>15.8219673058815</v>
      </c>
      <c r="M127">
        <v>24.006275960852001</v>
      </c>
      <c r="N127" s="2">
        <f t="shared" si="32"/>
        <v>3.1318851253453861</v>
      </c>
      <c r="O127" s="2">
        <v>0.45269999999999999</v>
      </c>
      <c r="P127" s="2">
        <f t="shared" si="26"/>
        <v>17.047193539959796</v>
      </c>
      <c r="Q127" s="2">
        <f t="shared" si="27"/>
        <v>6.5252921167552411E-3</v>
      </c>
      <c r="R127" s="2">
        <f t="shared" si="28"/>
        <v>0.13321677965431017</v>
      </c>
      <c r="S127" s="2">
        <f t="shared" si="29"/>
        <v>3.1418606239446471E-2</v>
      </c>
      <c r="T127" s="2">
        <v>6.9871543059861096E-2</v>
      </c>
      <c r="U127" s="2">
        <v>6.3120090517575396E-3</v>
      </c>
      <c r="V127" s="3">
        <f t="shared" si="33"/>
        <v>1.1256762862757787E-2</v>
      </c>
      <c r="W127">
        <v>20</v>
      </c>
      <c r="X127">
        <f t="shared" si="22"/>
        <v>2.9957322735539909</v>
      </c>
    </row>
    <row r="128" spans="1:24" x14ac:dyDescent="0.45">
      <c r="A128" t="s">
        <v>11</v>
      </c>
      <c r="B128">
        <v>9</v>
      </c>
      <c r="C128">
        <v>2016</v>
      </c>
      <c r="D128">
        <v>30451008</v>
      </c>
      <c r="E128">
        <v>3363886</v>
      </c>
      <c r="F128">
        <v>120990</v>
      </c>
      <c r="G128">
        <v>139408</v>
      </c>
      <c r="H128">
        <v>925345</v>
      </c>
      <c r="I128">
        <v>209650</v>
      </c>
      <c r="J128">
        <v>19766439</v>
      </c>
      <c r="K128">
        <v>3.8729071718276198</v>
      </c>
      <c r="L128">
        <v>18.127194558590599</v>
      </c>
      <c r="M128">
        <v>24.4994330579914</v>
      </c>
      <c r="N128" s="2">
        <f t="shared" si="32"/>
        <v>2.9321553908760549</v>
      </c>
      <c r="O128" s="2">
        <v>0.42770000000000002</v>
      </c>
      <c r="P128" s="2">
        <f t="shared" si="26"/>
        <v>17.231629655020548</v>
      </c>
      <c r="Q128" s="2">
        <f t="shared" si="27"/>
        <v>3.973267485923619E-3</v>
      </c>
      <c r="R128" s="2">
        <f t="shared" si="28"/>
        <v>0.11046878973595882</v>
      </c>
      <c r="S128" s="2">
        <f t="shared" si="29"/>
        <v>0.15065516104804155</v>
      </c>
      <c r="T128" s="2">
        <v>6.6900089266042351E-2</v>
      </c>
      <c r="U128" s="2">
        <v>2.6682481696908199E-2</v>
      </c>
      <c r="V128" s="3">
        <f t="shared" si="33"/>
        <v>1.0606361621331996E-2</v>
      </c>
      <c r="W128">
        <v>12</v>
      </c>
      <c r="X128">
        <f t="shared" si="22"/>
        <v>2.4849066497880004</v>
      </c>
    </row>
    <row r="129" spans="1:24" x14ac:dyDescent="0.45">
      <c r="A129" t="s">
        <v>11</v>
      </c>
      <c r="B129">
        <v>9</v>
      </c>
      <c r="C129">
        <v>2017</v>
      </c>
      <c r="D129">
        <v>37326805</v>
      </c>
      <c r="E129">
        <v>3551597</v>
      </c>
      <c r="F129">
        <v>201693</v>
      </c>
      <c r="G129">
        <v>85522</v>
      </c>
      <c r="H129">
        <v>1127154</v>
      </c>
      <c r="I129">
        <v>207110</v>
      </c>
      <c r="J129">
        <v>24685503</v>
      </c>
      <c r="K129">
        <v>3.4878659520670099</v>
      </c>
      <c r="L129">
        <v>19.9794949903735</v>
      </c>
      <c r="M129">
        <v>24.408110955118602</v>
      </c>
      <c r="N129" s="2">
        <f t="shared" si="32"/>
        <v>2.8027631128335688</v>
      </c>
      <c r="O129" s="2">
        <v>0.31209999999999999</v>
      </c>
      <c r="P129" s="2">
        <f t="shared" ref="P129:P160" si="34">LN(D129)</f>
        <v>17.435222259228976</v>
      </c>
      <c r="Q129" s="2">
        <f t="shared" ref="Q129:Q160" si="35">F129/D129</f>
        <v>5.4034359490451973E-3</v>
      </c>
      <c r="R129" s="2">
        <f t="shared" ref="R129:R160" si="36">E129/D129</f>
        <v>9.5148700779506851E-2</v>
      </c>
      <c r="S129" s="2">
        <f t="shared" ref="S129:S160" si="37">G129/H129</f>
        <v>7.5874281597723109E-2</v>
      </c>
      <c r="T129" s="2">
        <v>6.9401903735920603E-2</v>
      </c>
      <c r="U129" s="2">
        <v>3.5202568881161703E-2</v>
      </c>
      <c r="V129" s="3">
        <f t="shared" si="33"/>
        <v>8.3899444949531721E-3</v>
      </c>
      <c r="W129">
        <v>17</v>
      </c>
      <c r="X129">
        <f t="shared" si="22"/>
        <v>2.8332133440562162</v>
      </c>
    </row>
    <row r="130" spans="1:24" x14ac:dyDescent="0.45">
      <c r="A130" t="s">
        <v>11</v>
      </c>
      <c r="B130">
        <v>9</v>
      </c>
      <c r="C130">
        <v>2018</v>
      </c>
      <c r="D130">
        <v>42309803</v>
      </c>
      <c r="E130">
        <v>3750147</v>
      </c>
      <c r="F130">
        <v>231889</v>
      </c>
      <c r="G130">
        <v>281291</v>
      </c>
      <c r="H130">
        <v>1256162</v>
      </c>
      <c r="I130">
        <v>277718</v>
      </c>
      <c r="J130">
        <v>29471994</v>
      </c>
      <c r="K130">
        <v>3.9598095587873798</v>
      </c>
      <c r="L130">
        <v>20.511087535654799</v>
      </c>
      <c r="M130">
        <v>25.6092485278987</v>
      </c>
      <c r="N130" s="2">
        <f t="shared" si="32"/>
        <v>2.7366164630872984</v>
      </c>
      <c r="O130" s="2">
        <v>0.36670000000000003</v>
      </c>
      <c r="P130" s="2">
        <f t="shared" si="34"/>
        <v>17.560529366575743</v>
      </c>
      <c r="Q130" s="2">
        <f t="shared" si="35"/>
        <v>5.4807392981716316E-3</v>
      </c>
      <c r="R130" s="2">
        <f t="shared" si="36"/>
        <v>8.8635416241479539E-2</v>
      </c>
      <c r="S130" s="2">
        <f t="shared" si="37"/>
        <v>0.22392891999598777</v>
      </c>
      <c r="T130" s="2">
        <v>7.4650068557275087E-2</v>
      </c>
      <c r="U130" s="2">
        <v>3.5396280594264098E-2</v>
      </c>
      <c r="V130" s="3">
        <f t="shared" si="33"/>
        <v>9.4231153820131756E-3</v>
      </c>
      <c r="W130">
        <v>13</v>
      </c>
      <c r="X130">
        <f t="shared" si="22"/>
        <v>2.5649493574615367</v>
      </c>
    </row>
    <row r="131" spans="1:24" x14ac:dyDescent="0.45">
      <c r="A131" t="s">
        <v>11</v>
      </c>
      <c r="B131">
        <v>9</v>
      </c>
      <c r="C131">
        <v>2019</v>
      </c>
      <c r="D131">
        <v>51102121</v>
      </c>
      <c r="E131">
        <v>3791854</v>
      </c>
      <c r="F131">
        <v>67674</v>
      </c>
      <c r="G131">
        <v>194939</v>
      </c>
      <c r="H131">
        <v>1202809</v>
      </c>
      <c r="I131">
        <v>341956</v>
      </c>
      <c r="J131">
        <v>33479645</v>
      </c>
      <c r="K131">
        <v>4.0230286341449499</v>
      </c>
      <c r="L131">
        <v>21.918245362198</v>
      </c>
      <c r="M131">
        <v>26.1660509841828</v>
      </c>
      <c r="N131" s="2">
        <f t="shared" si="32"/>
        <v>2.5165609184241782</v>
      </c>
      <c r="P131" s="2">
        <f t="shared" si="34"/>
        <v>17.749336561161861</v>
      </c>
      <c r="Q131" s="2">
        <f t="shared" si="35"/>
        <v>1.3242894556177033E-3</v>
      </c>
      <c r="R131" s="2">
        <f t="shared" si="36"/>
        <v>7.4201499385906117E-2</v>
      </c>
      <c r="S131" s="2">
        <f t="shared" si="37"/>
        <v>0.16206978830387866</v>
      </c>
      <c r="T131" s="2">
        <v>7.3592627010500566E-2</v>
      </c>
      <c r="U131" s="2">
        <v>2.7958236745225001E-2</v>
      </c>
      <c r="V131" s="3">
        <f t="shared" si="33"/>
        <v>1.0213847846952976E-2</v>
      </c>
      <c r="W131">
        <v>15</v>
      </c>
      <c r="X131">
        <f t="shared" ref="X131:X194" si="38">LN(W131)</f>
        <v>2.7080502011022101</v>
      </c>
    </row>
    <row r="132" spans="1:24" x14ac:dyDescent="0.45">
      <c r="A132" t="s">
        <v>11</v>
      </c>
      <c r="B132">
        <v>9</v>
      </c>
      <c r="C132">
        <v>2020</v>
      </c>
      <c r="D132">
        <v>57281987</v>
      </c>
      <c r="E132">
        <v>3918172</v>
      </c>
      <c r="F132">
        <v>126318</v>
      </c>
      <c r="G132">
        <v>288849</v>
      </c>
      <c r="H132">
        <v>1241278</v>
      </c>
      <c r="I132">
        <v>1882804</v>
      </c>
      <c r="J132">
        <v>34716197</v>
      </c>
      <c r="K132">
        <v>4.0399838659549498</v>
      </c>
      <c r="L132">
        <v>23.747196863397502</v>
      </c>
      <c r="M132">
        <v>26.4783455246633</v>
      </c>
      <c r="N132" s="2">
        <f t="shared" si="32"/>
        <v>2.4492112750973183</v>
      </c>
      <c r="O132" s="2">
        <v>0.45839999999999997</v>
      </c>
      <c r="P132" s="2">
        <f t="shared" si="34"/>
        <v>17.863496769260816</v>
      </c>
      <c r="Q132" s="2">
        <f t="shared" si="35"/>
        <v>2.2051958497878226E-3</v>
      </c>
      <c r="R132" s="2">
        <f t="shared" si="36"/>
        <v>6.8401467986786146E-2</v>
      </c>
      <c r="S132" s="2">
        <f t="shared" si="37"/>
        <v>0.23270290780953179</v>
      </c>
      <c r="T132" s="2">
        <v>2.8654132091227212E-2</v>
      </c>
      <c r="U132" s="2">
        <v>3.2209343665251404E-2</v>
      </c>
      <c r="V132" s="3">
        <f t="shared" si="33"/>
        <v>5.4234166259628035E-2</v>
      </c>
      <c r="W132">
        <v>13</v>
      </c>
      <c r="X132">
        <f t="shared" si="38"/>
        <v>2.5649493574615367</v>
      </c>
    </row>
    <row r="133" spans="1:24" x14ac:dyDescent="0.45">
      <c r="A133" t="s">
        <v>11</v>
      </c>
      <c r="B133">
        <v>9</v>
      </c>
      <c r="C133">
        <v>2021</v>
      </c>
      <c r="D133">
        <v>83822488</v>
      </c>
      <c r="E133">
        <v>4679417</v>
      </c>
      <c r="F133">
        <v>770273</v>
      </c>
      <c r="G133">
        <v>387903</v>
      </c>
      <c r="H133">
        <v>2318863</v>
      </c>
      <c r="I133">
        <v>726176</v>
      </c>
      <c r="J133">
        <v>38387339</v>
      </c>
      <c r="K133">
        <v>2.9295233226858799</v>
      </c>
      <c r="L133">
        <v>25.554737309897</v>
      </c>
      <c r="M133">
        <v>27.207097804316199</v>
      </c>
      <c r="N133" s="2">
        <f t="shared" si="32"/>
        <v>2.3666994270282853</v>
      </c>
      <c r="P133" s="2">
        <f t="shared" si="34"/>
        <v>18.244211882673984</v>
      </c>
      <c r="Q133" s="2">
        <f t="shared" si="35"/>
        <v>9.1893359214057207E-3</v>
      </c>
      <c r="R133" s="2">
        <f t="shared" si="36"/>
        <v>5.5825317425557686E-2</v>
      </c>
      <c r="S133" s="2">
        <f t="shared" si="37"/>
        <v>0.16728155134650041</v>
      </c>
      <c r="T133" s="2">
        <v>2.5615641067098523E-2</v>
      </c>
      <c r="U133" s="2">
        <v>1.8347155481044399E-2</v>
      </c>
      <c r="V133" s="3">
        <f t="shared" si="33"/>
        <v>1.891707054766156E-2</v>
      </c>
      <c r="W133">
        <v>45</v>
      </c>
      <c r="X133">
        <f t="shared" si="38"/>
        <v>3.8066624897703196</v>
      </c>
    </row>
    <row r="134" spans="1:24" x14ac:dyDescent="0.45">
      <c r="A134" t="s">
        <v>11</v>
      </c>
      <c r="B134">
        <v>9</v>
      </c>
      <c r="C134">
        <v>2022</v>
      </c>
      <c r="D134">
        <v>85760181</v>
      </c>
      <c r="E134">
        <v>5183574</v>
      </c>
      <c r="F134">
        <v>544521</v>
      </c>
      <c r="G134">
        <v>521757</v>
      </c>
      <c r="H134">
        <v>2613278</v>
      </c>
      <c r="I134">
        <v>845015</v>
      </c>
      <c r="J134">
        <v>44702595</v>
      </c>
      <c r="K134">
        <v>3.0268176838110499</v>
      </c>
      <c r="L134">
        <v>19.886983507523201</v>
      </c>
      <c r="M134">
        <v>27.746488205671799</v>
      </c>
      <c r="N134" s="2">
        <f t="shared" si="32"/>
        <v>2.3936702322695895</v>
      </c>
      <c r="O134" s="2">
        <v>0.49209999999999998</v>
      </c>
      <c r="P134" s="2">
        <f t="shared" si="34"/>
        <v>18.267065365825584</v>
      </c>
      <c r="Q134" s="2">
        <f t="shared" si="35"/>
        <v>6.3493452748193246E-3</v>
      </c>
      <c r="R134" s="2">
        <f t="shared" si="36"/>
        <v>6.0442666276555548E-2</v>
      </c>
      <c r="S134" s="2">
        <f t="shared" si="37"/>
        <v>0.19965614067848886</v>
      </c>
      <c r="T134" s="2">
        <v>8.0197923744283764E-2</v>
      </c>
      <c r="U134" s="2">
        <v>3.1565074996312899E-2</v>
      </c>
      <c r="V134" s="3">
        <f t="shared" si="33"/>
        <v>1.8903041311136411E-2</v>
      </c>
      <c r="W134">
        <v>0</v>
      </c>
      <c r="X134" t="e">
        <f t="shared" si="38"/>
        <v>#NUM!</v>
      </c>
    </row>
    <row r="135" spans="1:24" x14ac:dyDescent="0.45">
      <c r="A135" t="s">
        <v>11</v>
      </c>
      <c r="B135">
        <v>9</v>
      </c>
      <c r="C135">
        <v>2023</v>
      </c>
      <c r="D135">
        <v>86972602</v>
      </c>
      <c r="E135">
        <v>5757558</v>
      </c>
      <c r="F135">
        <v>573984</v>
      </c>
      <c r="G135">
        <v>744298</v>
      </c>
      <c r="H135">
        <v>2782404</v>
      </c>
      <c r="I135">
        <v>1001571</v>
      </c>
      <c r="J135">
        <v>51783052</v>
      </c>
      <c r="K135">
        <v>3.07187771218757</v>
      </c>
      <c r="L135">
        <v>19.004474740999601</v>
      </c>
      <c r="M135">
        <v>27.341668248477099</v>
      </c>
      <c r="N135" s="2">
        <f t="shared" si="32"/>
        <v>2.4797926842834697</v>
      </c>
      <c r="P135" s="2">
        <f t="shared" si="34"/>
        <v>18.281103707481055</v>
      </c>
      <c r="Q135" s="2">
        <f t="shared" si="35"/>
        <v>6.5995955829860073E-3</v>
      </c>
      <c r="R135" s="2">
        <f t="shared" si="36"/>
        <v>6.6199675157470855E-2</v>
      </c>
      <c r="S135" s="2">
        <f t="shared" si="37"/>
        <v>0.26750177184909163</v>
      </c>
      <c r="T135" s="2">
        <v>5.0499999999999996E-2</v>
      </c>
      <c r="U135" s="2">
        <v>3.2500000000000001E-2</v>
      </c>
      <c r="V135" s="3">
        <f t="shared" si="33"/>
        <v>1.9341675728189987E-2</v>
      </c>
      <c r="W135">
        <v>68</v>
      </c>
      <c r="X135">
        <f t="shared" si="38"/>
        <v>4.219507705176107</v>
      </c>
    </row>
    <row r="136" spans="1:24" x14ac:dyDescent="0.45">
      <c r="A136" t="s">
        <v>11</v>
      </c>
      <c r="B136">
        <v>9</v>
      </c>
      <c r="C136">
        <v>2024</v>
      </c>
      <c r="D136">
        <v>92176268</v>
      </c>
      <c r="E136">
        <v>6604952</v>
      </c>
      <c r="F136">
        <v>887494</v>
      </c>
      <c r="G136">
        <v>765355</v>
      </c>
      <c r="H136">
        <v>3956581</v>
      </c>
      <c r="I136">
        <v>1240575</v>
      </c>
      <c r="J136">
        <v>61431909</v>
      </c>
      <c r="K136">
        <v>3.0966938195511502</v>
      </c>
      <c r="L136">
        <v>27.889422983664101</v>
      </c>
      <c r="M136">
        <v>27.243425052219401</v>
      </c>
      <c r="N136" s="2">
        <f t="shared" si="32"/>
        <v>2.5900346379229182</v>
      </c>
      <c r="P136" s="2">
        <f t="shared" si="34"/>
        <v>18.339213258431414</v>
      </c>
      <c r="Q136" s="2">
        <f t="shared" si="35"/>
        <v>9.6282266494017738E-3</v>
      </c>
      <c r="R136" s="2">
        <f t="shared" si="36"/>
        <v>7.1655667378505719E-2</v>
      </c>
      <c r="S136" s="2">
        <f t="shared" si="37"/>
        <v>0.19343847630062419</v>
      </c>
      <c r="T136" s="2">
        <v>7.0900000000000005E-2</v>
      </c>
      <c r="U136" s="2">
        <v>3.6299999999999999E-2</v>
      </c>
      <c r="V136" s="3">
        <f t="shared" si="33"/>
        <v>2.0194309768234615E-2</v>
      </c>
      <c r="W136">
        <v>74</v>
      </c>
      <c r="X136">
        <f t="shared" si="38"/>
        <v>4.3040650932041702</v>
      </c>
    </row>
    <row r="137" spans="1:24" x14ac:dyDescent="0.45">
      <c r="A137" t="s">
        <v>12</v>
      </c>
      <c r="B137">
        <v>10</v>
      </c>
      <c r="C137">
        <v>2010</v>
      </c>
      <c r="D137">
        <v>34984722</v>
      </c>
      <c r="E137">
        <v>4106392</v>
      </c>
      <c r="F137">
        <v>682900</v>
      </c>
      <c r="G137">
        <v>103209</v>
      </c>
      <c r="H137">
        <v>1327516</v>
      </c>
      <c r="I137">
        <v>41076</v>
      </c>
      <c r="J137">
        <v>9833703</v>
      </c>
      <c r="K137">
        <v>3.2718982631890698</v>
      </c>
      <c r="L137">
        <v>9.7075901186610398</v>
      </c>
      <c r="M137">
        <v>17.334389639963199</v>
      </c>
      <c r="N137" s="2">
        <f t="shared" ref="N137:N151" si="39">LN((Q137+R137)/(_xlfn.STDEV.S($Q$137:$Q$151)))</f>
        <v>3.2569212304449726</v>
      </c>
      <c r="P137" s="2">
        <f t="shared" si="34"/>
        <v>17.370422009867877</v>
      </c>
      <c r="Q137" s="2">
        <f t="shared" si="35"/>
        <v>1.9519949308158001E-2</v>
      </c>
      <c r="R137" s="2">
        <f t="shared" si="36"/>
        <v>0.11737672233039324</v>
      </c>
      <c r="S137" s="2">
        <f t="shared" si="37"/>
        <v>7.7745955604301573E-2</v>
      </c>
      <c r="T137" s="2">
        <v>6.4232448223948205E-2</v>
      </c>
      <c r="U137" s="2">
        <v>9.20746648778413E-2</v>
      </c>
      <c r="V137" s="3">
        <f t="shared" si="33"/>
        <v>4.1770633097216788E-3</v>
      </c>
      <c r="W137">
        <v>12</v>
      </c>
      <c r="X137">
        <f t="shared" si="38"/>
        <v>2.4849066497880004</v>
      </c>
    </row>
    <row r="138" spans="1:24" x14ac:dyDescent="0.45">
      <c r="A138" t="s">
        <v>12</v>
      </c>
      <c r="B138">
        <v>10</v>
      </c>
      <c r="C138">
        <v>2011</v>
      </c>
      <c r="D138">
        <v>56132336</v>
      </c>
      <c r="E138">
        <v>6594001</v>
      </c>
      <c r="F138">
        <v>977028</v>
      </c>
      <c r="G138">
        <v>43345</v>
      </c>
      <c r="H138">
        <v>2101014</v>
      </c>
      <c r="I138">
        <v>272543</v>
      </c>
      <c r="J138">
        <v>12757139</v>
      </c>
      <c r="K138">
        <v>3.59352181546691</v>
      </c>
      <c r="L138">
        <v>10.9472107468528</v>
      </c>
      <c r="M138">
        <v>19.912794817213701</v>
      </c>
      <c r="N138" s="2">
        <f t="shared" si="39"/>
        <v>3.2420670335415696</v>
      </c>
      <c r="P138" s="2">
        <f t="shared" si="34"/>
        <v>17.84322260372565</v>
      </c>
      <c r="Q138" s="2">
        <f t="shared" si="35"/>
        <v>1.7405796188492851E-2</v>
      </c>
      <c r="R138" s="2">
        <f t="shared" si="36"/>
        <v>0.11747241376165068</v>
      </c>
      <c r="S138" s="2">
        <f t="shared" si="37"/>
        <v>2.0630514599141177E-2</v>
      </c>
      <c r="T138" s="2">
        <v>6.4131688968168274E-2</v>
      </c>
      <c r="U138" s="2">
        <v>0.18677732277070699</v>
      </c>
      <c r="V138" s="3">
        <f t="shared" si="33"/>
        <v>2.136395942695302E-2</v>
      </c>
      <c r="W138">
        <v>28</v>
      </c>
      <c r="X138">
        <f t="shared" si="38"/>
        <v>3.3322045101752038</v>
      </c>
    </row>
    <row r="139" spans="1:24" x14ac:dyDescent="0.45">
      <c r="A139" t="s">
        <v>12</v>
      </c>
      <c r="B139">
        <v>10</v>
      </c>
      <c r="C139">
        <v>2012</v>
      </c>
      <c r="D139">
        <v>66412697</v>
      </c>
      <c r="E139">
        <v>7391002</v>
      </c>
      <c r="F139">
        <v>868160</v>
      </c>
      <c r="G139">
        <v>0</v>
      </c>
      <c r="H139">
        <v>2311110</v>
      </c>
      <c r="J139">
        <v>22991681</v>
      </c>
      <c r="K139">
        <v>3.1504539182237998</v>
      </c>
      <c r="L139">
        <v>12.0614890394782</v>
      </c>
      <c r="M139">
        <v>20.9770541106558</v>
      </c>
      <c r="N139" s="2">
        <f t="shared" si="39"/>
        <v>3.1608849613036019</v>
      </c>
      <c r="P139" s="2">
        <f t="shared" si="34"/>
        <v>18.01139881604599</v>
      </c>
      <c r="Q139" s="2">
        <f t="shared" si="35"/>
        <v>1.3072199130837887E-2</v>
      </c>
      <c r="R139" s="2">
        <f t="shared" si="36"/>
        <v>0.11128899041699812</v>
      </c>
      <c r="S139" s="2">
        <f t="shared" si="37"/>
        <v>0</v>
      </c>
      <c r="T139" s="2">
        <v>5.5045447041188994E-2</v>
      </c>
      <c r="U139" s="2">
        <v>9.0947033955719195E-2</v>
      </c>
      <c r="W139">
        <v>6</v>
      </c>
      <c r="X139">
        <f t="shared" si="38"/>
        <v>1.791759469228055</v>
      </c>
    </row>
    <row r="140" spans="1:24" x14ac:dyDescent="0.45">
      <c r="A140" t="s">
        <v>12</v>
      </c>
      <c r="B140">
        <v>10</v>
      </c>
      <c r="C140">
        <v>2013</v>
      </c>
      <c r="D140">
        <v>79594241</v>
      </c>
      <c r="E140">
        <v>7271275</v>
      </c>
      <c r="F140">
        <v>566274</v>
      </c>
      <c r="G140">
        <v>0</v>
      </c>
      <c r="H140">
        <v>2139006</v>
      </c>
      <c r="J140">
        <v>29548005</v>
      </c>
      <c r="K140">
        <v>3.6926464082046402</v>
      </c>
      <c r="L140">
        <v>12.840142796842899</v>
      </c>
      <c r="M140">
        <v>22.1573299611807</v>
      </c>
      <c r="N140" s="2">
        <f t="shared" si="39"/>
        <v>2.9274345067299588</v>
      </c>
      <c r="O140" s="2">
        <v>0.48320000000000002</v>
      </c>
      <c r="P140" s="2">
        <f t="shared" si="34"/>
        <v>18.192452298951046</v>
      </c>
      <c r="Q140" s="2">
        <f t="shared" si="35"/>
        <v>7.1145097042887816E-3</v>
      </c>
      <c r="R140" s="2">
        <f t="shared" si="36"/>
        <v>9.135428529307793E-2</v>
      </c>
      <c r="S140" s="2">
        <f t="shared" si="37"/>
        <v>0</v>
      </c>
      <c r="T140" s="2">
        <v>5.5535108102607179E-2</v>
      </c>
      <c r="U140" s="2">
        <v>6.5926747589919191E-2</v>
      </c>
      <c r="W140">
        <v>6</v>
      </c>
      <c r="X140">
        <f t="shared" si="38"/>
        <v>1.791759469228055</v>
      </c>
    </row>
    <row r="141" spans="1:24" x14ac:dyDescent="0.45">
      <c r="A141" t="s">
        <v>12</v>
      </c>
      <c r="B141">
        <v>10</v>
      </c>
      <c r="C141">
        <v>2014</v>
      </c>
      <c r="D141">
        <v>100801752</v>
      </c>
      <c r="E141">
        <v>7391097</v>
      </c>
      <c r="F141">
        <v>466463</v>
      </c>
      <c r="G141">
        <v>0</v>
      </c>
      <c r="H141">
        <v>2112935</v>
      </c>
      <c r="J141">
        <v>41289105</v>
      </c>
      <c r="K141">
        <v>3.8792484082456702</v>
      </c>
      <c r="L141">
        <v>14.6258764318214</v>
      </c>
      <c r="M141">
        <v>22.979955992336901</v>
      </c>
      <c r="N141" s="2">
        <f t="shared" si="39"/>
        <v>2.6937704790219903</v>
      </c>
      <c r="O141" s="2">
        <v>0.44640000000000002</v>
      </c>
      <c r="P141" s="2">
        <f t="shared" si="34"/>
        <v>18.428666294402877</v>
      </c>
      <c r="Q141" s="2">
        <f t="shared" si="35"/>
        <v>4.6275286961282181E-3</v>
      </c>
      <c r="R141" s="2">
        <f t="shared" si="36"/>
        <v>7.3323100574680486E-2</v>
      </c>
      <c r="S141" s="2">
        <f t="shared" si="37"/>
        <v>0</v>
      </c>
      <c r="T141" s="2">
        <v>6.4222431211856723E-2</v>
      </c>
      <c r="U141" s="2">
        <v>4.0845544663761703E-2</v>
      </c>
      <c r="W141">
        <v>0</v>
      </c>
      <c r="X141" t="e">
        <f t="shared" si="38"/>
        <v>#NUM!</v>
      </c>
    </row>
    <row r="142" spans="1:24" x14ac:dyDescent="0.45">
      <c r="A142" t="s">
        <v>12</v>
      </c>
      <c r="B142">
        <v>10</v>
      </c>
      <c r="C142">
        <v>2015</v>
      </c>
      <c r="D142">
        <v>107587385</v>
      </c>
      <c r="E142">
        <v>7600520</v>
      </c>
      <c r="F142">
        <v>349849</v>
      </c>
      <c r="G142">
        <v>0</v>
      </c>
      <c r="H142">
        <v>2487703</v>
      </c>
      <c r="J142">
        <v>56164794</v>
      </c>
      <c r="K142">
        <v>3.7957611751290998</v>
      </c>
      <c r="L142">
        <v>15.8219673058815</v>
      </c>
      <c r="M142">
        <v>24.006275960852001</v>
      </c>
      <c r="N142" s="2">
        <f t="shared" si="39"/>
        <v>2.6403650313894369</v>
      </c>
      <c r="P142" s="2">
        <f t="shared" si="34"/>
        <v>18.493813959041887</v>
      </c>
      <c r="Q142" s="2">
        <f t="shared" si="35"/>
        <v>3.251765994684228E-3</v>
      </c>
      <c r="R142" s="2">
        <f t="shared" si="36"/>
        <v>7.0645085388031326E-2</v>
      </c>
      <c r="S142" s="2">
        <f t="shared" si="37"/>
        <v>0</v>
      </c>
      <c r="T142" s="2">
        <v>6.9871543059861096E-2</v>
      </c>
      <c r="U142" s="2">
        <v>6.3120090517575396E-3</v>
      </c>
      <c r="W142">
        <v>6</v>
      </c>
      <c r="X142">
        <f t="shared" si="38"/>
        <v>1.791759469228055</v>
      </c>
    </row>
    <row r="143" spans="1:24" x14ac:dyDescent="0.45">
      <c r="A143" t="s">
        <v>12</v>
      </c>
      <c r="B143">
        <v>10</v>
      </c>
      <c r="C143">
        <v>2016</v>
      </c>
      <c r="D143">
        <v>141865255</v>
      </c>
      <c r="E143">
        <v>8331885</v>
      </c>
      <c r="F143">
        <v>1062786</v>
      </c>
      <c r="G143">
        <v>0</v>
      </c>
      <c r="H143">
        <v>3871645</v>
      </c>
      <c r="J143">
        <v>79676162</v>
      </c>
      <c r="K143">
        <v>3.8729071718276198</v>
      </c>
      <c r="L143">
        <v>18.127194558590599</v>
      </c>
      <c r="M143">
        <v>24.4994330579914</v>
      </c>
      <c r="N143" s="2">
        <f t="shared" si="39"/>
        <v>2.5307150047570275</v>
      </c>
      <c r="P143" s="2">
        <f t="shared" si="34"/>
        <v>18.770388256616197</v>
      </c>
      <c r="Q143" s="2">
        <f t="shared" si="35"/>
        <v>7.4915172146978485E-3</v>
      </c>
      <c r="R143" s="2">
        <f t="shared" si="36"/>
        <v>5.8730976799075997E-2</v>
      </c>
      <c r="S143" s="2">
        <f t="shared" si="37"/>
        <v>0</v>
      </c>
      <c r="T143" s="2">
        <v>6.6900089266042351E-2</v>
      </c>
      <c r="U143" s="2">
        <v>2.6682481696908199E-2</v>
      </c>
      <c r="W143">
        <v>0</v>
      </c>
      <c r="X143" t="e">
        <f t="shared" si="38"/>
        <v>#NUM!</v>
      </c>
    </row>
    <row r="144" spans="1:24" x14ac:dyDescent="0.45">
      <c r="A144" t="s">
        <v>12</v>
      </c>
      <c r="B144">
        <v>10</v>
      </c>
      <c r="C144">
        <v>2017</v>
      </c>
      <c r="D144">
        <v>163433639</v>
      </c>
      <c r="E144">
        <v>9383258</v>
      </c>
      <c r="F144">
        <v>1368086</v>
      </c>
      <c r="G144">
        <v>0</v>
      </c>
      <c r="H144">
        <v>5102910</v>
      </c>
      <c r="I144">
        <v>1073889</v>
      </c>
      <c r="J144">
        <v>100621236</v>
      </c>
      <c r="K144">
        <v>3.4878659520670099</v>
      </c>
      <c r="L144">
        <v>19.9794949903735</v>
      </c>
      <c r="M144">
        <v>24.408110955118602</v>
      </c>
      <c r="N144" s="2">
        <f t="shared" si="39"/>
        <v>2.5240738295275174</v>
      </c>
      <c r="P144" s="2">
        <f t="shared" si="34"/>
        <v>18.911917588235102</v>
      </c>
      <c r="Q144" s="2">
        <f t="shared" si="35"/>
        <v>8.3708960307736884E-3</v>
      </c>
      <c r="R144" s="2">
        <f t="shared" si="36"/>
        <v>5.741325994705411E-2</v>
      </c>
      <c r="S144" s="2">
        <f t="shared" si="37"/>
        <v>0</v>
      </c>
      <c r="T144" s="2">
        <v>6.9401903735920603E-2</v>
      </c>
      <c r="U144" s="2">
        <v>3.5202568881161703E-2</v>
      </c>
      <c r="V144" s="3">
        <f t="shared" ref="V144:V166" si="40">I144/J144</f>
        <v>1.0672588040957874E-2</v>
      </c>
      <c r="W144">
        <v>2</v>
      </c>
      <c r="X144">
        <f t="shared" si="38"/>
        <v>0.69314718055994529</v>
      </c>
    </row>
    <row r="145" spans="1:24" x14ac:dyDescent="0.45">
      <c r="A145" t="s">
        <v>12</v>
      </c>
      <c r="B145">
        <v>10</v>
      </c>
      <c r="C145">
        <v>2018</v>
      </c>
      <c r="D145">
        <v>175094532</v>
      </c>
      <c r="E145">
        <v>10200892</v>
      </c>
      <c r="F145">
        <v>959953</v>
      </c>
      <c r="G145">
        <v>0</v>
      </c>
      <c r="H145">
        <v>4879445</v>
      </c>
      <c r="I145">
        <v>1680455</v>
      </c>
      <c r="J145">
        <v>119193424</v>
      </c>
      <c r="K145">
        <v>3.9598095587873798</v>
      </c>
      <c r="L145">
        <v>20.511087535654799</v>
      </c>
      <c r="M145">
        <v>25.6092485278987</v>
      </c>
      <c r="N145" s="2">
        <f t="shared" si="39"/>
        <v>2.4925357497818661</v>
      </c>
      <c r="P145" s="2">
        <f t="shared" si="34"/>
        <v>18.980836568898692</v>
      </c>
      <c r="Q145" s="2">
        <f t="shared" si="35"/>
        <v>5.4824841703223492E-3</v>
      </c>
      <c r="R145" s="2">
        <f t="shared" si="36"/>
        <v>5.825934073143986E-2</v>
      </c>
      <c r="S145" s="2">
        <f t="shared" si="37"/>
        <v>0</v>
      </c>
      <c r="T145" s="2">
        <v>7.4650068557275087E-2</v>
      </c>
      <c r="U145" s="2">
        <v>3.5396280594264098E-2</v>
      </c>
      <c r="V145" s="3">
        <f t="shared" si="40"/>
        <v>1.4098554631671626E-2</v>
      </c>
      <c r="W145">
        <v>0</v>
      </c>
      <c r="X145" t="e">
        <f t="shared" si="38"/>
        <v>#NUM!</v>
      </c>
    </row>
    <row r="146" spans="1:24" x14ac:dyDescent="0.45">
      <c r="A146" t="s">
        <v>12</v>
      </c>
      <c r="B146">
        <v>10</v>
      </c>
      <c r="C146">
        <v>2019</v>
      </c>
      <c r="D146">
        <v>202058040</v>
      </c>
      <c r="E146">
        <v>12579800</v>
      </c>
      <c r="F146">
        <v>1600277</v>
      </c>
      <c r="G146">
        <v>445719</v>
      </c>
      <c r="H146">
        <v>6506595</v>
      </c>
      <c r="I146">
        <v>2030337</v>
      </c>
      <c r="J146">
        <v>140522626</v>
      </c>
      <c r="K146">
        <v>4.0230286341449499</v>
      </c>
      <c r="L146">
        <v>21.918245362198</v>
      </c>
      <c r="M146">
        <v>26.1660509841828</v>
      </c>
      <c r="N146" s="2">
        <f t="shared" si="39"/>
        <v>2.5887330581927537</v>
      </c>
      <c r="O146" s="2">
        <v>0.35920000000000002</v>
      </c>
      <c r="P146" s="2">
        <f t="shared" si="34"/>
        <v>19.124065540827733</v>
      </c>
      <c r="Q146" s="2">
        <f t="shared" si="35"/>
        <v>7.9198877708602927E-3</v>
      </c>
      <c r="R146" s="2">
        <f t="shared" si="36"/>
        <v>6.2258349135723576E-2</v>
      </c>
      <c r="S146" s="2">
        <f t="shared" si="37"/>
        <v>6.8502650003573293E-2</v>
      </c>
      <c r="T146" s="2">
        <v>7.3592627010500566E-2</v>
      </c>
      <c r="U146" s="2">
        <v>2.7958236745225001E-2</v>
      </c>
      <c r="V146" s="3">
        <f t="shared" si="40"/>
        <v>1.4448470383694652E-2</v>
      </c>
      <c r="W146">
        <v>0</v>
      </c>
      <c r="X146" t="e">
        <f t="shared" si="38"/>
        <v>#NUM!</v>
      </c>
    </row>
    <row r="147" spans="1:24" x14ac:dyDescent="0.45">
      <c r="A147" t="s">
        <v>12</v>
      </c>
      <c r="B147">
        <v>10</v>
      </c>
      <c r="C147">
        <v>2020</v>
      </c>
      <c r="D147">
        <v>242342951</v>
      </c>
      <c r="E147">
        <v>14231726</v>
      </c>
      <c r="F147">
        <v>1861908</v>
      </c>
      <c r="G147">
        <v>1050915</v>
      </c>
      <c r="H147">
        <v>7771086</v>
      </c>
      <c r="I147">
        <v>2527349</v>
      </c>
      <c r="J147">
        <v>176621536</v>
      </c>
      <c r="K147">
        <v>4.0399838659549498</v>
      </c>
      <c r="L147">
        <v>23.747196863397502</v>
      </c>
      <c r="M147">
        <v>26.4783455246633</v>
      </c>
      <c r="N147" s="2">
        <f t="shared" si="39"/>
        <v>2.5335200040188788</v>
      </c>
      <c r="P147" s="2">
        <f t="shared" si="34"/>
        <v>19.305864433800053</v>
      </c>
      <c r="Q147" s="2">
        <f t="shared" si="35"/>
        <v>7.6829468004621267E-3</v>
      </c>
      <c r="R147" s="2">
        <f t="shared" si="36"/>
        <v>5.8725562023877478E-2</v>
      </c>
      <c r="S147" s="2">
        <f t="shared" si="37"/>
        <v>0.13523399432202912</v>
      </c>
      <c r="T147" s="2">
        <v>2.8654132091227212E-2</v>
      </c>
      <c r="U147" s="2">
        <v>3.2209343665251404E-2</v>
      </c>
      <c r="V147" s="3">
        <f t="shared" si="40"/>
        <v>1.4309404488476422E-2</v>
      </c>
      <c r="W147">
        <v>33</v>
      </c>
      <c r="X147">
        <f t="shared" si="38"/>
        <v>3.4965075614664802</v>
      </c>
    </row>
    <row r="148" spans="1:24" x14ac:dyDescent="0.45">
      <c r="A148" t="s">
        <v>12</v>
      </c>
      <c r="B148">
        <v>10</v>
      </c>
      <c r="C148">
        <v>2021</v>
      </c>
      <c r="D148">
        <v>289193879</v>
      </c>
      <c r="E148">
        <v>16801877</v>
      </c>
      <c r="F148">
        <v>2873248</v>
      </c>
      <c r="G148">
        <v>1033530</v>
      </c>
      <c r="H148">
        <v>10050689</v>
      </c>
      <c r="I148">
        <v>2777518</v>
      </c>
      <c r="J148">
        <v>208954136</v>
      </c>
      <c r="K148">
        <v>2.9295233226858799</v>
      </c>
      <c r="L148">
        <v>25.554737309897</v>
      </c>
      <c r="M148">
        <v>27.207097804316199</v>
      </c>
      <c r="N148" s="2">
        <f t="shared" si="39"/>
        <v>2.5577079125299731</v>
      </c>
      <c r="P148" s="2">
        <f t="shared" si="34"/>
        <v>19.482607882741355</v>
      </c>
      <c r="Q148" s="2">
        <f t="shared" si="35"/>
        <v>9.9353693443836686E-3</v>
      </c>
      <c r="R148" s="2">
        <f t="shared" si="36"/>
        <v>5.8099006307114821E-2</v>
      </c>
      <c r="S148" s="2">
        <f t="shared" si="37"/>
        <v>0.10283175611144668</v>
      </c>
      <c r="T148" s="2">
        <v>2.5615641067098523E-2</v>
      </c>
      <c r="U148" s="2">
        <v>1.8347155481044399E-2</v>
      </c>
      <c r="V148" s="3">
        <f t="shared" si="40"/>
        <v>1.3292476775860517E-2</v>
      </c>
      <c r="W148">
        <v>60</v>
      </c>
      <c r="X148">
        <f t="shared" si="38"/>
        <v>4.0943445622221004</v>
      </c>
    </row>
    <row r="149" spans="1:24" x14ac:dyDescent="0.45">
      <c r="A149" t="s">
        <v>12</v>
      </c>
      <c r="B149">
        <v>10</v>
      </c>
      <c r="C149">
        <v>2022</v>
      </c>
      <c r="D149">
        <v>327745847</v>
      </c>
      <c r="E149">
        <v>24055154</v>
      </c>
      <c r="F149">
        <v>4510253</v>
      </c>
      <c r="G149">
        <v>2270342</v>
      </c>
      <c r="H149">
        <v>14170311</v>
      </c>
      <c r="I149">
        <v>3426818</v>
      </c>
      <c r="J149">
        <v>235506871</v>
      </c>
      <c r="K149">
        <v>3.0268176838110499</v>
      </c>
      <c r="L149">
        <v>19.886983507523201</v>
      </c>
      <c r="M149">
        <v>27.746488205671799</v>
      </c>
      <c r="N149" s="2">
        <f t="shared" si="39"/>
        <v>2.8054080787441809</v>
      </c>
      <c r="P149" s="2">
        <f t="shared" si="34"/>
        <v>19.607749009284476</v>
      </c>
      <c r="Q149" s="2">
        <f t="shared" si="35"/>
        <v>1.3761434481273534E-2</v>
      </c>
      <c r="R149" s="2">
        <f t="shared" si="36"/>
        <v>7.3395755339654992E-2</v>
      </c>
      <c r="S149" s="2">
        <f t="shared" si="37"/>
        <v>0.16021821962834831</v>
      </c>
      <c r="T149" s="2">
        <v>8.0197923744283764E-2</v>
      </c>
      <c r="U149" s="2">
        <v>3.1565074996312899E-2</v>
      </c>
      <c r="V149" s="3">
        <f t="shared" si="40"/>
        <v>1.4550819623432559E-2</v>
      </c>
      <c r="W149">
        <v>89</v>
      </c>
      <c r="X149">
        <f t="shared" si="38"/>
        <v>4.4886363697321396</v>
      </c>
    </row>
    <row r="150" spans="1:24" x14ac:dyDescent="0.45">
      <c r="A150" t="s">
        <v>12</v>
      </c>
      <c r="B150">
        <v>10</v>
      </c>
      <c r="C150">
        <v>2023</v>
      </c>
      <c r="D150">
        <v>382863179</v>
      </c>
      <c r="E150">
        <v>34117400</v>
      </c>
      <c r="F150">
        <v>5572246</v>
      </c>
      <c r="G150">
        <v>4422176</v>
      </c>
      <c r="H150">
        <v>15625305</v>
      </c>
      <c r="I150">
        <v>3688651</v>
      </c>
      <c r="J150">
        <v>275430884</v>
      </c>
      <c r="K150">
        <v>3.07187771218757</v>
      </c>
      <c r="L150">
        <v>19.004474740999601</v>
      </c>
      <c r="M150">
        <v>27.341668248477099</v>
      </c>
      <c r="N150" s="2">
        <f t="shared" si="39"/>
        <v>2.9788627470455276</v>
      </c>
      <c r="P150" s="2">
        <f t="shared" si="34"/>
        <v>19.763188248334355</v>
      </c>
      <c r="Q150" s="2">
        <f t="shared" si="35"/>
        <v>1.4554144419304423E-2</v>
      </c>
      <c r="R150" s="2">
        <f t="shared" si="36"/>
        <v>8.9111207009018756E-2</v>
      </c>
      <c r="S150" s="2">
        <f t="shared" si="37"/>
        <v>0.28301373957180354</v>
      </c>
      <c r="T150" s="2">
        <v>5.0499999999999996E-2</v>
      </c>
      <c r="U150" s="2">
        <v>3.2500000000000001E-2</v>
      </c>
      <c r="V150" s="3">
        <f t="shared" si="40"/>
        <v>1.3392292637742106E-2</v>
      </c>
      <c r="W150">
        <v>0</v>
      </c>
      <c r="X150" t="e">
        <f t="shared" si="38"/>
        <v>#NUM!</v>
      </c>
    </row>
    <row r="151" spans="1:24" x14ac:dyDescent="0.45">
      <c r="A151" t="s">
        <v>12</v>
      </c>
      <c r="B151">
        <v>10</v>
      </c>
      <c r="C151">
        <v>2024</v>
      </c>
      <c r="D151">
        <v>508330398</v>
      </c>
      <c r="E151">
        <v>43338300</v>
      </c>
      <c r="F151">
        <v>9720900</v>
      </c>
      <c r="G151">
        <v>4538687</v>
      </c>
      <c r="H151">
        <v>19932430</v>
      </c>
      <c r="I151">
        <v>5198643</v>
      </c>
      <c r="J151">
        <v>331606315</v>
      </c>
      <c r="K151">
        <v>3.0966938195511502</v>
      </c>
      <c r="L151">
        <v>27.889422983664101</v>
      </c>
      <c r="M151">
        <v>27.243425052219401</v>
      </c>
      <c r="N151" s="2">
        <f t="shared" si="39"/>
        <v>2.9857267351780319</v>
      </c>
      <c r="P151" s="2">
        <f t="shared" si="34"/>
        <v>20.046642183894775</v>
      </c>
      <c r="Q151" s="2">
        <f t="shared" si="35"/>
        <v>1.912319239267686E-2</v>
      </c>
      <c r="R151" s="2">
        <f t="shared" si="36"/>
        <v>8.5256164436579684E-2</v>
      </c>
      <c r="S151" s="2">
        <f t="shared" si="37"/>
        <v>0.22770364677061453</v>
      </c>
      <c r="T151" s="2">
        <v>7.0900000000000005E-2</v>
      </c>
      <c r="U151" s="2">
        <v>3.6299999999999999E-2</v>
      </c>
      <c r="V151" s="3">
        <f t="shared" si="40"/>
        <v>1.5677153192936027E-2</v>
      </c>
      <c r="W151">
        <v>85</v>
      </c>
      <c r="X151">
        <f t="shared" si="38"/>
        <v>4.4426512564903167</v>
      </c>
    </row>
    <row r="152" spans="1:24" x14ac:dyDescent="0.45">
      <c r="A152" t="s">
        <v>13</v>
      </c>
      <c r="B152">
        <v>11</v>
      </c>
      <c r="C152">
        <v>2010</v>
      </c>
      <c r="D152">
        <v>109623198</v>
      </c>
      <c r="E152">
        <v>9741113</v>
      </c>
      <c r="F152">
        <v>1745170</v>
      </c>
      <c r="G152">
        <v>569096</v>
      </c>
      <c r="H152">
        <v>4088200</v>
      </c>
      <c r="I152">
        <v>613171</v>
      </c>
      <c r="J152">
        <v>48796587</v>
      </c>
      <c r="K152">
        <v>3.2718982631890698</v>
      </c>
      <c r="L152">
        <v>9.7075901186610398</v>
      </c>
      <c r="M152">
        <v>17.334389639963199</v>
      </c>
      <c r="N152" s="2">
        <f t="shared" ref="N152:N166" si="41">LN((Q152+R152)/(_xlfn.STDEV.S($Q$152:$Q$166)))</f>
        <v>3.1375340213434599</v>
      </c>
      <c r="O152" s="2">
        <v>0.64529999999999998</v>
      </c>
      <c r="P152" s="2">
        <f t="shared" si="34"/>
        <v>18.512559570665189</v>
      </c>
      <c r="Q152" s="2">
        <f t="shared" si="35"/>
        <v>1.591971436556704E-2</v>
      </c>
      <c r="R152" s="2">
        <f t="shared" si="36"/>
        <v>8.8859960097131999E-2</v>
      </c>
      <c r="S152" s="2">
        <f t="shared" si="37"/>
        <v>0.13920453989530845</v>
      </c>
      <c r="T152" s="2">
        <v>6.4232448223948205E-2</v>
      </c>
      <c r="U152" s="2">
        <v>9.20746648778413E-2</v>
      </c>
      <c r="V152" s="3">
        <f t="shared" si="40"/>
        <v>1.2565858345789636E-2</v>
      </c>
      <c r="W152">
        <v>3</v>
      </c>
      <c r="X152">
        <f t="shared" si="38"/>
        <v>1.0986122886681098</v>
      </c>
    </row>
    <row r="153" spans="1:24" x14ac:dyDescent="0.45">
      <c r="A153" t="s">
        <v>13</v>
      </c>
      <c r="B153">
        <v>11</v>
      </c>
      <c r="C153">
        <v>2011</v>
      </c>
      <c r="D153">
        <v>138831492</v>
      </c>
      <c r="E153">
        <v>10297799</v>
      </c>
      <c r="F153">
        <v>1915336</v>
      </c>
      <c r="G153">
        <v>0</v>
      </c>
      <c r="H153">
        <v>5147130</v>
      </c>
      <c r="I153">
        <v>937383</v>
      </c>
      <c r="J153">
        <v>59044837</v>
      </c>
      <c r="K153">
        <v>3.59352181546691</v>
      </c>
      <c r="L153">
        <v>10.9472107468528</v>
      </c>
      <c r="M153">
        <v>19.912794817213701</v>
      </c>
      <c r="N153" s="2">
        <f t="shared" si="41"/>
        <v>2.9626805951925412</v>
      </c>
      <c r="P153" s="2">
        <f t="shared" si="34"/>
        <v>18.748771467909947</v>
      </c>
      <c r="Q153" s="2">
        <f t="shared" si="35"/>
        <v>1.3796120551668492E-2</v>
      </c>
      <c r="R153" s="2">
        <f t="shared" si="36"/>
        <v>7.4174806102350319E-2</v>
      </c>
      <c r="S153" s="2">
        <f t="shared" si="37"/>
        <v>0</v>
      </c>
      <c r="T153" s="2">
        <v>6.4131688968168274E-2</v>
      </c>
      <c r="U153" s="2">
        <v>0.18677732277070699</v>
      </c>
      <c r="V153" s="3">
        <f t="shared" si="40"/>
        <v>1.5875782670041073E-2</v>
      </c>
      <c r="W153">
        <v>0</v>
      </c>
      <c r="X153" t="e">
        <f t="shared" si="38"/>
        <v>#NUM!</v>
      </c>
    </row>
    <row r="154" spans="1:24" x14ac:dyDescent="0.45">
      <c r="A154" t="s">
        <v>13</v>
      </c>
      <c r="B154">
        <v>11</v>
      </c>
      <c r="C154">
        <v>2012</v>
      </c>
      <c r="D154">
        <v>175609964</v>
      </c>
      <c r="E154">
        <v>13529846</v>
      </c>
      <c r="F154">
        <v>2320036</v>
      </c>
      <c r="G154">
        <v>1210812</v>
      </c>
      <c r="H154">
        <v>7813371</v>
      </c>
      <c r="I154">
        <v>1371639</v>
      </c>
      <c r="J154">
        <v>74478564</v>
      </c>
      <c r="K154">
        <v>3.1504539182237998</v>
      </c>
      <c r="L154">
        <v>12.0614890394782</v>
      </c>
      <c r="M154">
        <v>20.9770541106558</v>
      </c>
      <c r="N154" s="2">
        <f t="shared" si="41"/>
        <v>2.988326126527816</v>
      </c>
      <c r="O154" s="2">
        <v>0.55869999999999997</v>
      </c>
      <c r="P154" s="2">
        <f t="shared" si="34"/>
        <v>18.983775980152302</v>
      </c>
      <c r="Q154" s="2">
        <f t="shared" si="35"/>
        <v>1.3211300470399277E-2</v>
      </c>
      <c r="R154" s="2">
        <f t="shared" si="36"/>
        <v>7.7044865176329067E-2</v>
      </c>
      <c r="S154" s="2">
        <f t="shared" si="37"/>
        <v>0.15496665907711282</v>
      </c>
      <c r="T154" s="2">
        <v>5.5045447041188994E-2</v>
      </c>
      <c r="U154" s="2">
        <v>9.0947033955719195E-2</v>
      </c>
      <c r="V154" s="3">
        <f t="shared" si="40"/>
        <v>1.8416560770425167E-2</v>
      </c>
      <c r="W154">
        <v>6</v>
      </c>
      <c r="X154">
        <f t="shared" si="38"/>
        <v>1.791759469228055</v>
      </c>
    </row>
    <row r="155" spans="1:24" x14ac:dyDescent="0.45">
      <c r="A155" t="s">
        <v>13</v>
      </c>
      <c r="B155">
        <v>11</v>
      </c>
      <c r="C155">
        <v>2013</v>
      </c>
      <c r="D155">
        <v>180381064</v>
      </c>
      <c r="E155">
        <v>15707066</v>
      </c>
      <c r="F155">
        <v>2285716</v>
      </c>
      <c r="G155">
        <v>1536115</v>
      </c>
      <c r="H155">
        <v>7660486</v>
      </c>
      <c r="I155">
        <v>2146075</v>
      </c>
      <c r="J155">
        <v>87742915</v>
      </c>
      <c r="K155">
        <v>3.6926464082046402</v>
      </c>
      <c r="L155">
        <v>12.840142796842899</v>
      </c>
      <c r="M155">
        <v>22.1573299611807</v>
      </c>
      <c r="N155" s="2">
        <f t="shared" si="41"/>
        <v>3.0883285353108301</v>
      </c>
      <c r="O155" s="2">
        <v>0.54369999999999996</v>
      </c>
      <c r="P155" s="2">
        <f t="shared" si="34"/>
        <v>19.010582193342827</v>
      </c>
      <c r="Q155" s="2">
        <f t="shared" si="35"/>
        <v>1.2671596171536055E-2</v>
      </c>
      <c r="R155" s="2">
        <f t="shared" si="36"/>
        <v>8.7077133551002897E-2</v>
      </c>
      <c r="S155" s="2">
        <f t="shared" si="37"/>
        <v>0.20052448369463766</v>
      </c>
      <c r="T155" s="2">
        <v>5.5535108102607179E-2</v>
      </c>
      <c r="U155" s="2">
        <v>6.5926747589919191E-2</v>
      </c>
      <c r="V155" s="3">
        <f t="shared" si="40"/>
        <v>2.4458669967825891E-2</v>
      </c>
      <c r="W155">
        <v>6</v>
      </c>
      <c r="X155">
        <f t="shared" si="38"/>
        <v>1.791759469228055</v>
      </c>
    </row>
    <row r="156" spans="1:24" x14ac:dyDescent="0.45">
      <c r="A156" t="s">
        <v>13</v>
      </c>
      <c r="B156">
        <v>11</v>
      </c>
      <c r="C156">
        <v>2014</v>
      </c>
      <c r="D156">
        <v>200489173</v>
      </c>
      <c r="E156">
        <v>17148211</v>
      </c>
      <c r="F156">
        <v>2502988</v>
      </c>
      <c r="G156">
        <v>1766820</v>
      </c>
      <c r="H156">
        <v>8306895</v>
      </c>
      <c r="I156">
        <v>2745450</v>
      </c>
      <c r="J156">
        <v>100569006</v>
      </c>
      <c r="K156">
        <v>3.8792484082456702</v>
      </c>
      <c r="L156">
        <v>14.6258764318214</v>
      </c>
      <c r="M156">
        <v>22.979955992336901</v>
      </c>
      <c r="N156" s="2">
        <f t="shared" si="41"/>
        <v>3.0708076021921111</v>
      </c>
      <c r="O156" s="2">
        <v>0.51949999999999996</v>
      </c>
      <c r="P156" s="2">
        <f t="shared" si="34"/>
        <v>19.116270803252846</v>
      </c>
      <c r="Q156" s="2">
        <f t="shared" si="35"/>
        <v>1.2484404831177591E-2</v>
      </c>
      <c r="R156" s="2">
        <f t="shared" si="36"/>
        <v>8.5531855627934583E-2</v>
      </c>
      <c r="S156" s="2">
        <f t="shared" si="37"/>
        <v>0.21269319041591353</v>
      </c>
      <c r="T156" s="2">
        <v>6.4222431211856723E-2</v>
      </c>
      <c r="U156" s="2">
        <v>4.0845544663761703E-2</v>
      </c>
      <c r="V156" s="3">
        <f t="shared" si="40"/>
        <v>2.7299166106901761E-2</v>
      </c>
      <c r="W156">
        <v>8</v>
      </c>
      <c r="X156">
        <f t="shared" si="38"/>
        <v>2.0794415416798357</v>
      </c>
    </row>
    <row r="157" spans="1:24" x14ac:dyDescent="0.45">
      <c r="A157" t="s">
        <v>13</v>
      </c>
      <c r="B157">
        <v>11</v>
      </c>
      <c r="C157">
        <v>2015</v>
      </c>
      <c r="D157">
        <v>221041993</v>
      </c>
      <c r="E157">
        <v>23183051</v>
      </c>
      <c r="F157">
        <v>2512134</v>
      </c>
      <c r="G157">
        <v>1453338</v>
      </c>
      <c r="H157">
        <v>8771868</v>
      </c>
      <c r="I157">
        <v>1949594</v>
      </c>
      <c r="J157">
        <v>121348630</v>
      </c>
      <c r="K157">
        <v>3.7957611751290998</v>
      </c>
      <c r="L157">
        <v>15.8219673058815</v>
      </c>
      <c r="M157">
        <v>24.006275960852001</v>
      </c>
      <c r="N157" s="2">
        <f t="shared" si="41"/>
        <v>3.2413804164356996</v>
      </c>
      <c r="O157" s="2">
        <v>0.57520000000000004</v>
      </c>
      <c r="P157" s="2">
        <f t="shared" si="34"/>
        <v>19.213863255006395</v>
      </c>
      <c r="Q157" s="2">
        <f t="shared" si="35"/>
        <v>1.1364962674761985E-2</v>
      </c>
      <c r="R157" s="2">
        <f t="shared" si="36"/>
        <v>0.10488075449084464</v>
      </c>
      <c r="S157" s="2">
        <f t="shared" si="37"/>
        <v>0.16568169972461966</v>
      </c>
      <c r="T157" s="2">
        <v>6.9871543059861096E-2</v>
      </c>
      <c r="U157" s="2">
        <v>6.3120090517575396E-3</v>
      </c>
      <c r="V157" s="3">
        <f t="shared" si="40"/>
        <v>1.6066056946831622E-2</v>
      </c>
      <c r="W157">
        <v>10</v>
      </c>
      <c r="X157">
        <f t="shared" si="38"/>
        <v>2.3025850929940459</v>
      </c>
    </row>
    <row r="158" spans="1:24" x14ac:dyDescent="0.45">
      <c r="A158" t="s">
        <v>13</v>
      </c>
      <c r="B158">
        <v>11</v>
      </c>
      <c r="C158">
        <v>2016</v>
      </c>
      <c r="D158">
        <v>256258500</v>
      </c>
      <c r="E158">
        <v>26588446</v>
      </c>
      <c r="F158">
        <v>2883551</v>
      </c>
      <c r="G158">
        <v>1876413</v>
      </c>
      <c r="H158">
        <v>9855357</v>
      </c>
      <c r="I158">
        <v>1987197</v>
      </c>
      <c r="J158">
        <v>150737702</v>
      </c>
      <c r="K158">
        <v>3.8729071718276198</v>
      </c>
      <c r="L158">
        <v>18.127194558590599</v>
      </c>
      <c r="M158">
        <v>24.4994330579914</v>
      </c>
      <c r="N158" s="2">
        <f t="shared" si="41"/>
        <v>3.2306833508623902</v>
      </c>
      <c r="O158" s="2">
        <v>0.52669999999999995</v>
      </c>
      <c r="P158" s="2">
        <f t="shared" si="34"/>
        <v>19.361697258598461</v>
      </c>
      <c r="Q158" s="2">
        <f t="shared" si="35"/>
        <v>1.1252508697272481E-2</v>
      </c>
      <c r="R158" s="2">
        <f t="shared" si="36"/>
        <v>0.1037563475943237</v>
      </c>
      <c r="S158" s="2">
        <f t="shared" si="37"/>
        <v>0.19039523377996354</v>
      </c>
      <c r="T158" s="2">
        <v>6.6900089266042351E-2</v>
      </c>
      <c r="U158" s="2">
        <v>2.6682481696908199E-2</v>
      </c>
      <c r="V158" s="3">
        <f t="shared" si="40"/>
        <v>1.318314511654158E-2</v>
      </c>
      <c r="W158">
        <v>9</v>
      </c>
      <c r="X158">
        <f t="shared" si="38"/>
        <v>2.1972245773362196</v>
      </c>
    </row>
    <row r="159" spans="1:24" x14ac:dyDescent="0.45">
      <c r="A159" t="s">
        <v>13</v>
      </c>
      <c r="B159">
        <v>11</v>
      </c>
      <c r="C159">
        <v>2017</v>
      </c>
      <c r="D159">
        <v>313877828</v>
      </c>
      <c r="E159">
        <v>29601170</v>
      </c>
      <c r="F159">
        <v>3490415</v>
      </c>
      <c r="G159">
        <v>2648124</v>
      </c>
      <c r="H159">
        <v>13867076</v>
      </c>
      <c r="I159">
        <v>2217657</v>
      </c>
      <c r="J159">
        <v>184188142</v>
      </c>
      <c r="K159">
        <v>3.4878659520670099</v>
      </c>
      <c r="L159">
        <v>19.9794949903735</v>
      </c>
      <c r="M159">
        <v>24.408110955118602</v>
      </c>
      <c r="N159" s="2">
        <f t="shared" si="41"/>
        <v>3.1437046862758078</v>
      </c>
      <c r="O159" s="2">
        <v>0.5444</v>
      </c>
      <c r="P159" s="2">
        <f t="shared" si="34"/>
        <v>19.564514385357626</v>
      </c>
      <c r="Q159" s="2">
        <f t="shared" si="35"/>
        <v>1.1120298054311755E-2</v>
      </c>
      <c r="R159" s="2">
        <f t="shared" si="36"/>
        <v>9.4307935634115575E-2</v>
      </c>
      <c r="S159" s="2">
        <f t="shared" si="37"/>
        <v>0.19096484363394273</v>
      </c>
      <c r="T159" s="2">
        <v>6.9401903735920603E-2</v>
      </c>
      <c r="U159" s="2">
        <v>3.5202568881161703E-2</v>
      </c>
      <c r="V159" s="3">
        <f t="shared" si="40"/>
        <v>1.2040172488411334E-2</v>
      </c>
      <c r="W159">
        <v>19</v>
      </c>
      <c r="X159">
        <f t="shared" si="38"/>
        <v>2.9444389791664403</v>
      </c>
    </row>
    <row r="160" spans="1:24" x14ac:dyDescent="0.45">
      <c r="A160" t="s">
        <v>13</v>
      </c>
      <c r="B160">
        <v>11</v>
      </c>
      <c r="C160">
        <v>2018</v>
      </c>
      <c r="D160">
        <v>362325062</v>
      </c>
      <c r="E160">
        <v>34172858</v>
      </c>
      <c r="F160">
        <v>6189901</v>
      </c>
      <c r="G160">
        <v>4953066</v>
      </c>
      <c r="H160">
        <v>19536563</v>
      </c>
      <c r="I160">
        <v>2859688</v>
      </c>
      <c r="J160">
        <v>214685958</v>
      </c>
      <c r="K160">
        <v>3.9598095587873798</v>
      </c>
      <c r="L160">
        <v>20.511087535654799</v>
      </c>
      <c r="M160">
        <v>25.6092485278987</v>
      </c>
      <c r="N160" s="2">
        <f t="shared" si="41"/>
        <v>3.198795275900689</v>
      </c>
      <c r="O160" s="2">
        <v>0.49530000000000002</v>
      </c>
      <c r="P160" s="2">
        <f t="shared" si="34"/>
        <v>19.708052328189929</v>
      </c>
      <c r="Q160" s="2">
        <f t="shared" si="35"/>
        <v>1.7083833411446432E-2</v>
      </c>
      <c r="R160" s="2">
        <f t="shared" si="36"/>
        <v>9.4315468577771192E-2</v>
      </c>
      <c r="S160" s="2">
        <f t="shared" si="37"/>
        <v>0.25352801309012235</v>
      </c>
      <c r="T160" s="2">
        <v>7.4650068557275087E-2</v>
      </c>
      <c r="U160" s="2">
        <v>3.5396280594264098E-2</v>
      </c>
      <c r="V160" s="3">
        <f t="shared" si="40"/>
        <v>1.3320330899331571E-2</v>
      </c>
      <c r="W160">
        <v>18</v>
      </c>
      <c r="X160">
        <f t="shared" si="38"/>
        <v>2.8903717578961645</v>
      </c>
    </row>
    <row r="161" spans="1:24" x14ac:dyDescent="0.45">
      <c r="A161" t="s">
        <v>13</v>
      </c>
      <c r="B161">
        <v>11</v>
      </c>
      <c r="C161">
        <v>2019</v>
      </c>
      <c r="D161">
        <v>411487576</v>
      </c>
      <c r="E161">
        <v>39885814</v>
      </c>
      <c r="F161">
        <v>8068604</v>
      </c>
      <c r="G161">
        <v>6650451</v>
      </c>
      <c r="H161">
        <v>24650448</v>
      </c>
      <c r="I161">
        <v>2897638</v>
      </c>
      <c r="J161">
        <v>250330623</v>
      </c>
      <c r="K161">
        <v>4.0230286341449499</v>
      </c>
      <c r="L161">
        <v>21.918245362198</v>
      </c>
      <c r="M161">
        <v>26.1660509841828</v>
      </c>
      <c r="N161" s="2">
        <f t="shared" si="41"/>
        <v>3.2439016002628538</v>
      </c>
      <c r="O161" s="2">
        <v>0.62660000000000005</v>
      </c>
      <c r="P161" s="2">
        <f t="shared" ref="P161:P192" si="42">LN(D161)</f>
        <v>19.835289385645051</v>
      </c>
      <c r="Q161" s="2">
        <f t="shared" ref="Q161:Q192" si="43">F161/D161</f>
        <v>1.9608378164010475E-2</v>
      </c>
      <c r="R161" s="2">
        <f t="shared" ref="R161:R192" si="44">E161/D161</f>
        <v>9.6930785584641813E-2</v>
      </c>
      <c r="S161" s="2">
        <f t="shared" ref="S161:S192" si="45">G161/H161</f>
        <v>0.26979026912614329</v>
      </c>
      <c r="T161" s="2">
        <v>7.3592627010500566E-2</v>
      </c>
      <c r="U161" s="2">
        <v>2.7958236745225001E-2</v>
      </c>
      <c r="V161" s="3">
        <f t="shared" si="40"/>
        <v>1.1575243832633293E-2</v>
      </c>
      <c r="W161">
        <v>38</v>
      </c>
      <c r="X161">
        <f t="shared" si="38"/>
        <v>3.6375861597263857</v>
      </c>
    </row>
    <row r="162" spans="1:24" x14ac:dyDescent="0.45">
      <c r="A162" t="s">
        <v>13</v>
      </c>
      <c r="B162">
        <v>11</v>
      </c>
      <c r="C162">
        <v>2020</v>
      </c>
      <c r="D162">
        <v>494982162</v>
      </c>
      <c r="E162">
        <v>50099495</v>
      </c>
      <c r="F162">
        <v>8606039</v>
      </c>
      <c r="G162">
        <v>7084378</v>
      </c>
      <c r="H162">
        <v>27362173</v>
      </c>
      <c r="I162">
        <v>3247806</v>
      </c>
      <c r="J162">
        <v>298296983</v>
      </c>
      <c r="K162">
        <v>4.0399838659549498</v>
      </c>
      <c r="L162">
        <v>23.747196863397502</v>
      </c>
      <c r="M162">
        <v>26.4783455246633</v>
      </c>
      <c r="N162" s="2">
        <f t="shared" si="41"/>
        <v>3.2614417660293968</v>
      </c>
      <c r="O162" s="2">
        <v>0.5927</v>
      </c>
      <c r="P162" s="2">
        <f t="shared" si="42"/>
        <v>20.020032283520003</v>
      </c>
      <c r="Q162" s="2">
        <f t="shared" si="43"/>
        <v>1.7386563922277262E-2</v>
      </c>
      <c r="R162" s="2">
        <f t="shared" si="44"/>
        <v>0.1012147484215805</v>
      </c>
      <c r="S162" s="2">
        <f t="shared" si="45"/>
        <v>0.25891138105149764</v>
      </c>
      <c r="T162" s="2">
        <v>2.8654132091227212E-2</v>
      </c>
      <c r="U162" s="2">
        <v>3.2209343665251404E-2</v>
      </c>
      <c r="V162" s="3">
        <f t="shared" si="40"/>
        <v>1.0887827182616862E-2</v>
      </c>
      <c r="W162">
        <v>61</v>
      </c>
      <c r="X162">
        <f t="shared" si="38"/>
        <v>4.1108738641733114</v>
      </c>
    </row>
    <row r="163" spans="1:24" x14ac:dyDescent="0.45">
      <c r="A163" t="s">
        <v>13</v>
      </c>
      <c r="B163">
        <v>11</v>
      </c>
      <c r="C163">
        <v>2021</v>
      </c>
      <c r="D163">
        <v>607140419</v>
      </c>
      <c r="E163">
        <v>62486023</v>
      </c>
      <c r="F163">
        <v>13221437</v>
      </c>
      <c r="G163">
        <v>10734944</v>
      </c>
      <c r="H163">
        <v>36934498</v>
      </c>
      <c r="I163">
        <v>10419324</v>
      </c>
      <c r="J163">
        <v>363554778</v>
      </c>
      <c r="K163">
        <v>2.9295233226858799</v>
      </c>
      <c r="L163">
        <v>25.554737309897</v>
      </c>
      <c r="M163">
        <v>27.207097804316199</v>
      </c>
      <c r="N163" s="2">
        <f t="shared" si="41"/>
        <v>3.3115460986084559</v>
      </c>
      <c r="P163" s="2">
        <f t="shared" si="42"/>
        <v>20.224270655054653</v>
      </c>
      <c r="Q163" s="2">
        <f t="shared" si="43"/>
        <v>2.1776571920177169E-2</v>
      </c>
      <c r="R163" s="2">
        <f t="shared" si="44"/>
        <v>0.10291856882616804</v>
      </c>
      <c r="S163" s="2">
        <f t="shared" si="45"/>
        <v>0.29064816313463904</v>
      </c>
      <c r="T163" s="2">
        <v>2.5615641067098523E-2</v>
      </c>
      <c r="U163" s="2">
        <v>1.8347155481044399E-2</v>
      </c>
      <c r="V163" s="3">
        <f t="shared" si="40"/>
        <v>2.8659571075696329E-2</v>
      </c>
      <c r="W163">
        <v>67</v>
      </c>
      <c r="X163">
        <f t="shared" si="38"/>
        <v>4.2046926193909657</v>
      </c>
    </row>
    <row r="164" spans="1:24" x14ac:dyDescent="0.45">
      <c r="A164" t="s">
        <v>13</v>
      </c>
      <c r="B164">
        <v>11</v>
      </c>
      <c r="C164">
        <v>2022</v>
      </c>
      <c r="D164">
        <v>728532373</v>
      </c>
      <c r="E164">
        <v>79613219</v>
      </c>
      <c r="F164">
        <v>18155185</v>
      </c>
      <c r="G164">
        <v>9569503</v>
      </c>
      <c r="H164">
        <v>45592625</v>
      </c>
      <c r="I164">
        <v>5031294</v>
      </c>
      <c r="J164">
        <v>460574482</v>
      </c>
      <c r="K164">
        <v>3.0268176838110499</v>
      </c>
      <c r="L164">
        <v>19.886983507523201</v>
      </c>
      <c r="M164">
        <v>27.746488205671799</v>
      </c>
      <c r="N164" s="2">
        <f t="shared" si="41"/>
        <v>3.3849988880397919</v>
      </c>
      <c r="O164" s="2">
        <v>0.66679999999999995</v>
      </c>
      <c r="P164" s="2">
        <f t="shared" si="42"/>
        <v>20.406542620498268</v>
      </c>
      <c r="Q164" s="2">
        <f t="shared" si="43"/>
        <v>2.4920217237896166E-2</v>
      </c>
      <c r="R164" s="2">
        <f t="shared" si="44"/>
        <v>0.10927890365690036</v>
      </c>
      <c r="S164" s="2">
        <f t="shared" si="45"/>
        <v>0.20989146819249824</v>
      </c>
      <c r="T164" s="2">
        <v>8.0197923744283764E-2</v>
      </c>
      <c r="U164" s="2">
        <v>3.1565074996312899E-2</v>
      </c>
      <c r="V164" s="3">
        <f t="shared" si="40"/>
        <v>1.0923953012229627E-2</v>
      </c>
      <c r="W164">
        <v>156</v>
      </c>
      <c r="X164">
        <f t="shared" si="38"/>
        <v>5.0498560072495371</v>
      </c>
    </row>
    <row r="165" spans="1:24" x14ac:dyDescent="0.45">
      <c r="A165" t="s">
        <v>13</v>
      </c>
      <c r="B165">
        <v>11</v>
      </c>
      <c r="C165">
        <v>2023</v>
      </c>
      <c r="D165">
        <v>944953640</v>
      </c>
      <c r="E165">
        <v>96711159</v>
      </c>
      <c r="F165">
        <v>21053792</v>
      </c>
      <c r="G165">
        <v>8622214</v>
      </c>
      <c r="H165">
        <v>47306062</v>
      </c>
      <c r="I165">
        <v>19023141</v>
      </c>
      <c r="J165">
        <v>611048830</v>
      </c>
      <c r="K165">
        <v>3.07187771218757</v>
      </c>
      <c r="L165">
        <v>19.004474740999601</v>
      </c>
      <c r="M165">
        <v>27.341668248477099</v>
      </c>
      <c r="N165" s="2">
        <f t="shared" si="41"/>
        <v>3.3109843223612918</v>
      </c>
      <c r="P165" s="2">
        <f t="shared" si="42"/>
        <v>20.666646426053564</v>
      </c>
      <c r="Q165" s="2">
        <f t="shared" si="43"/>
        <v>2.2280238001940497E-2</v>
      </c>
      <c r="R165" s="2">
        <f t="shared" si="44"/>
        <v>0.10234487164894142</v>
      </c>
      <c r="S165" s="2">
        <f t="shared" si="45"/>
        <v>0.18226446327322701</v>
      </c>
      <c r="T165" s="2">
        <v>5.0499999999999996E-2</v>
      </c>
      <c r="U165" s="2">
        <v>3.2500000000000001E-2</v>
      </c>
      <c r="V165" s="3">
        <f t="shared" si="40"/>
        <v>3.1131948980247619E-2</v>
      </c>
      <c r="W165">
        <v>122</v>
      </c>
      <c r="X165">
        <f t="shared" si="38"/>
        <v>4.8040210447332568</v>
      </c>
    </row>
    <row r="166" spans="1:24" x14ac:dyDescent="0.45">
      <c r="A166" t="s">
        <v>13</v>
      </c>
      <c r="B166">
        <v>11</v>
      </c>
      <c r="C166">
        <v>2024</v>
      </c>
      <c r="D166">
        <v>1128801062</v>
      </c>
      <c r="E166">
        <v>117059581</v>
      </c>
      <c r="F166">
        <v>22951264</v>
      </c>
      <c r="G166">
        <v>14261003</v>
      </c>
      <c r="H166">
        <v>55413222</v>
      </c>
      <c r="I166">
        <v>12585432</v>
      </c>
      <c r="J166">
        <v>776657846</v>
      </c>
      <c r="K166">
        <v>3.0966938195511502</v>
      </c>
      <c r="L166">
        <v>27.889422983664101</v>
      </c>
      <c r="M166">
        <v>27.243425052219401</v>
      </c>
      <c r="N166" s="2">
        <f t="shared" si="41"/>
        <v>3.3062380357497605</v>
      </c>
      <c r="P166" s="2">
        <f t="shared" si="42"/>
        <v>20.844421899324548</v>
      </c>
      <c r="Q166" s="2">
        <f t="shared" si="43"/>
        <v>2.033242594521939E-2</v>
      </c>
      <c r="R166" s="2">
        <f t="shared" si="44"/>
        <v>0.1037025787277298</v>
      </c>
      <c r="S166" s="2">
        <f t="shared" si="45"/>
        <v>0.25735740470027174</v>
      </c>
      <c r="T166" s="2">
        <v>7.0900000000000005E-2</v>
      </c>
      <c r="U166" s="2">
        <v>3.6299999999999999E-2</v>
      </c>
      <c r="V166" s="3">
        <f t="shared" si="40"/>
        <v>1.6204602921116952E-2</v>
      </c>
      <c r="W166">
        <v>174</v>
      </c>
      <c r="X166">
        <f t="shared" si="38"/>
        <v>5.1590552992145291</v>
      </c>
    </row>
    <row r="167" spans="1:24" x14ac:dyDescent="0.45">
      <c r="A167" t="s">
        <v>14</v>
      </c>
      <c r="B167">
        <v>12</v>
      </c>
      <c r="C167">
        <v>2010</v>
      </c>
      <c r="D167">
        <v>115336083</v>
      </c>
      <c r="E167">
        <v>6327589</v>
      </c>
      <c r="F167">
        <v>1157117</v>
      </c>
      <c r="G167">
        <v>660160</v>
      </c>
      <c r="H167">
        <v>2580063</v>
      </c>
      <c r="J167">
        <v>31829535</v>
      </c>
      <c r="K167">
        <v>3.2718982631890698</v>
      </c>
      <c r="L167">
        <v>9.7075901186610398</v>
      </c>
      <c r="M167">
        <v>17.334389639963199</v>
      </c>
      <c r="N167" s="2">
        <f t="shared" ref="N167:N181" si="46">LN((Q167+R167)/(_xlfn.STDEV.S($Q$167:$Q$181)))</f>
        <v>2.1764067158303373</v>
      </c>
      <c r="P167" s="2">
        <f t="shared" si="42"/>
        <v>18.563360885110157</v>
      </c>
      <c r="Q167" s="2">
        <f t="shared" si="43"/>
        <v>1.0032567171541624E-2</v>
      </c>
      <c r="R167" s="2">
        <f t="shared" si="44"/>
        <v>5.486218046784197E-2</v>
      </c>
      <c r="S167" s="2">
        <f t="shared" si="45"/>
        <v>0.2558697210106885</v>
      </c>
      <c r="T167" s="2">
        <v>6.4232448223948205E-2</v>
      </c>
      <c r="U167" s="2">
        <v>9.20746648778413E-2</v>
      </c>
      <c r="W167">
        <v>0</v>
      </c>
      <c r="X167" t="e">
        <f t="shared" si="38"/>
        <v>#NUM!</v>
      </c>
    </row>
    <row r="168" spans="1:24" x14ac:dyDescent="0.45">
      <c r="A168" t="s">
        <v>14</v>
      </c>
      <c r="B168">
        <v>12</v>
      </c>
      <c r="C168">
        <v>2011</v>
      </c>
      <c r="D168">
        <v>114374998</v>
      </c>
      <c r="E168">
        <v>9499881</v>
      </c>
      <c r="F168">
        <v>797340</v>
      </c>
      <c r="G168">
        <v>855002</v>
      </c>
      <c r="H168">
        <v>2412478</v>
      </c>
      <c r="J168">
        <v>37752939</v>
      </c>
      <c r="K168">
        <v>3.59352181546691</v>
      </c>
      <c r="L168">
        <v>10.9472107468528</v>
      </c>
      <c r="M168">
        <v>19.912794817213701</v>
      </c>
      <c r="N168" s="2">
        <f t="shared" si="46"/>
        <v>2.5037868513300277</v>
      </c>
      <c r="P168" s="2">
        <f t="shared" si="42"/>
        <v>18.554993064073621</v>
      </c>
      <c r="Q168" s="2">
        <f t="shared" si="43"/>
        <v>6.9712788104267336E-3</v>
      </c>
      <c r="R168" s="2">
        <f t="shared" si="44"/>
        <v>8.3059070304858054E-2</v>
      </c>
      <c r="S168" s="2">
        <f t="shared" si="45"/>
        <v>0.35440820600229306</v>
      </c>
      <c r="T168" s="2">
        <v>6.4131688968168274E-2</v>
      </c>
      <c r="U168" s="2">
        <v>0.18677732277070699</v>
      </c>
      <c r="W168">
        <v>21</v>
      </c>
      <c r="X168">
        <f t="shared" si="38"/>
        <v>3.044522437723423</v>
      </c>
    </row>
    <row r="169" spans="1:24" x14ac:dyDescent="0.45">
      <c r="A169" t="s">
        <v>14</v>
      </c>
      <c r="B169">
        <v>12</v>
      </c>
      <c r="C169">
        <v>2012</v>
      </c>
      <c r="D169">
        <v>109923376</v>
      </c>
      <c r="E169">
        <v>9090031</v>
      </c>
      <c r="F169">
        <v>226414</v>
      </c>
      <c r="G169">
        <v>609588</v>
      </c>
      <c r="H169">
        <v>2619514</v>
      </c>
      <c r="J169">
        <v>28943630</v>
      </c>
      <c r="K169">
        <v>3.1504539182237998</v>
      </c>
      <c r="L169">
        <v>12.0614890394782</v>
      </c>
      <c r="M169">
        <v>20.9770541106558</v>
      </c>
      <c r="N169" s="2">
        <f t="shared" si="46"/>
        <v>2.4433928813481418</v>
      </c>
      <c r="P169" s="2">
        <f t="shared" si="42"/>
        <v>18.515294099212667</v>
      </c>
      <c r="Q169" s="2">
        <f t="shared" si="43"/>
        <v>2.0597438710397687E-3</v>
      </c>
      <c r="R169" s="2">
        <f t="shared" si="44"/>
        <v>8.2694248764703146E-2</v>
      </c>
      <c r="S169" s="2">
        <f t="shared" si="45"/>
        <v>0.23271034245283667</v>
      </c>
      <c r="T169" s="2">
        <v>5.5045447041188994E-2</v>
      </c>
      <c r="U169" s="2">
        <v>9.0947033955719195E-2</v>
      </c>
      <c r="W169">
        <v>14</v>
      </c>
      <c r="X169">
        <f t="shared" si="38"/>
        <v>2.6390573296152584</v>
      </c>
    </row>
    <row r="170" spans="1:24" x14ac:dyDescent="0.45">
      <c r="A170" t="s">
        <v>14</v>
      </c>
      <c r="B170">
        <v>12</v>
      </c>
      <c r="C170">
        <v>2013</v>
      </c>
      <c r="D170">
        <v>107114882</v>
      </c>
      <c r="E170">
        <v>9412546</v>
      </c>
      <c r="F170">
        <v>329872</v>
      </c>
      <c r="G170">
        <v>802056</v>
      </c>
      <c r="H170">
        <v>2416446</v>
      </c>
      <c r="J170">
        <v>27409337</v>
      </c>
      <c r="K170">
        <v>3.6926464082046402</v>
      </c>
      <c r="L170">
        <v>12.840142796842899</v>
      </c>
      <c r="M170">
        <v>22.1573299611807</v>
      </c>
      <c r="N170" s="2">
        <f t="shared" si="46"/>
        <v>2.5139827238488324</v>
      </c>
      <c r="P170" s="2">
        <f t="shared" si="42"/>
        <v>18.489412480013097</v>
      </c>
      <c r="Q170" s="2">
        <f t="shared" si="43"/>
        <v>3.0796094234599447E-3</v>
      </c>
      <c r="R170" s="2">
        <f t="shared" si="44"/>
        <v>8.7873373188237278E-2</v>
      </c>
      <c r="S170" s="2">
        <f t="shared" si="45"/>
        <v>0.33191554870251599</v>
      </c>
      <c r="T170" s="2">
        <v>5.5535108102607179E-2</v>
      </c>
      <c r="U170" s="2">
        <v>6.5926747589919191E-2</v>
      </c>
      <c r="W170">
        <v>12</v>
      </c>
      <c r="X170">
        <f t="shared" si="38"/>
        <v>2.4849066497880004</v>
      </c>
    </row>
    <row r="171" spans="1:24" x14ac:dyDescent="0.45">
      <c r="A171" t="s">
        <v>14</v>
      </c>
      <c r="B171">
        <v>12</v>
      </c>
      <c r="C171">
        <v>2014</v>
      </c>
      <c r="D171">
        <v>104368741</v>
      </c>
      <c r="E171">
        <v>9445683</v>
      </c>
      <c r="F171">
        <v>142756</v>
      </c>
      <c r="G171">
        <v>1163421</v>
      </c>
      <c r="H171">
        <v>2336822</v>
      </c>
      <c r="J171">
        <v>23509425</v>
      </c>
      <c r="K171">
        <v>3.8792484082456702</v>
      </c>
      <c r="L171">
        <v>14.6258764318214</v>
      </c>
      <c r="M171">
        <v>22.979955992336901</v>
      </c>
      <c r="N171" s="2">
        <f t="shared" si="46"/>
        <v>2.5240231914509126</v>
      </c>
      <c r="P171" s="2">
        <f t="shared" si="42"/>
        <v>18.463440772870168</v>
      </c>
      <c r="Q171" s="2">
        <f t="shared" si="43"/>
        <v>1.3678041780728198E-3</v>
      </c>
      <c r="R171" s="2">
        <f t="shared" si="44"/>
        <v>9.0502988821145214E-2</v>
      </c>
      <c r="S171" s="2">
        <f t="shared" si="45"/>
        <v>0.49786462126768749</v>
      </c>
      <c r="T171" s="2">
        <v>6.4222431211856723E-2</v>
      </c>
      <c r="U171" s="2">
        <v>4.0845544663761703E-2</v>
      </c>
      <c r="W171">
        <v>16</v>
      </c>
      <c r="X171">
        <f t="shared" si="38"/>
        <v>2.7725887222397811</v>
      </c>
    </row>
    <row r="172" spans="1:24" x14ac:dyDescent="0.45">
      <c r="A172" t="s">
        <v>14</v>
      </c>
      <c r="B172">
        <v>12</v>
      </c>
      <c r="C172">
        <v>2015</v>
      </c>
      <c r="D172">
        <v>104311276</v>
      </c>
      <c r="E172">
        <v>13616249</v>
      </c>
      <c r="F172">
        <v>116274</v>
      </c>
      <c r="G172">
        <v>906810</v>
      </c>
      <c r="H172">
        <v>2493725</v>
      </c>
      <c r="J172">
        <v>28091320</v>
      </c>
      <c r="K172">
        <v>3.7957611751290998</v>
      </c>
      <c r="L172">
        <v>15.8219673058815</v>
      </c>
      <c r="M172">
        <v>24.006275960852001</v>
      </c>
      <c r="N172" s="2">
        <f t="shared" si="46"/>
        <v>2.8837827981445421</v>
      </c>
      <c r="O172" s="2">
        <v>0.50129999999999997</v>
      </c>
      <c r="P172" s="2">
        <f t="shared" si="42"/>
        <v>18.462890025345047</v>
      </c>
      <c r="Q172" s="2">
        <f t="shared" si="43"/>
        <v>1.1146829418518473E-3</v>
      </c>
      <c r="R172" s="2">
        <f t="shared" si="44"/>
        <v>0.13053477555005655</v>
      </c>
      <c r="S172" s="2">
        <f t="shared" si="45"/>
        <v>0.36363672818775128</v>
      </c>
      <c r="T172" s="2">
        <v>6.9871543059861096E-2</v>
      </c>
      <c r="U172" s="2">
        <v>6.3120090517575396E-3</v>
      </c>
      <c r="W172">
        <v>11</v>
      </c>
      <c r="X172">
        <f t="shared" si="38"/>
        <v>2.3978952727983707</v>
      </c>
    </row>
    <row r="173" spans="1:24" x14ac:dyDescent="0.45">
      <c r="A173" t="s">
        <v>14</v>
      </c>
      <c r="B173">
        <v>12</v>
      </c>
      <c r="C173">
        <v>2016</v>
      </c>
      <c r="D173">
        <v>92605862</v>
      </c>
      <c r="E173">
        <v>13599986</v>
      </c>
      <c r="F173">
        <v>140004</v>
      </c>
      <c r="G173">
        <v>1551911</v>
      </c>
      <c r="H173">
        <v>3804553</v>
      </c>
      <c r="I173">
        <v>830367</v>
      </c>
      <c r="J173">
        <v>35118872</v>
      </c>
      <c r="K173">
        <v>3.8729071718276198</v>
      </c>
      <c r="L173">
        <v>18.127194558590599</v>
      </c>
      <c r="M173">
        <v>24.4994330579914</v>
      </c>
      <c r="N173" s="2">
        <f t="shared" si="46"/>
        <v>3.0033534192409439</v>
      </c>
      <c r="P173" s="2">
        <f t="shared" si="42"/>
        <v>18.343863002148396</v>
      </c>
      <c r="Q173" s="2">
        <f t="shared" si="43"/>
        <v>1.5118265407431768E-3</v>
      </c>
      <c r="R173" s="2">
        <f t="shared" si="44"/>
        <v>0.14685880252375383</v>
      </c>
      <c r="S173" s="2">
        <f t="shared" si="45"/>
        <v>0.40790889231928168</v>
      </c>
      <c r="T173" s="2">
        <v>6.6900089266042351E-2</v>
      </c>
      <c r="U173" s="2">
        <v>2.6682481696908199E-2</v>
      </c>
      <c r="V173" s="3">
        <f t="shared" ref="V173:V181" si="47">I173/J173</f>
        <v>2.3644466712939984E-2</v>
      </c>
      <c r="W173">
        <v>12</v>
      </c>
      <c r="X173">
        <f t="shared" si="38"/>
        <v>2.4849066497880004</v>
      </c>
    </row>
    <row r="174" spans="1:24" x14ac:dyDescent="0.45">
      <c r="A174" t="s">
        <v>14</v>
      </c>
      <c r="B174">
        <v>12</v>
      </c>
      <c r="C174">
        <v>2017</v>
      </c>
      <c r="D174">
        <v>112238978</v>
      </c>
      <c r="E174">
        <v>13721942</v>
      </c>
      <c r="F174">
        <v>122032</v>
      </c>
      <c r="G174">
        <v>1645573</v>
      </c>
      <c r="H174">
        <v>3247650</v>
      </c>
      <c r="I174">
        <v>806390</v>
      </c>
      <c r="J174">
        <v>36212703</v>
      </c>
      <c r="K174">
        <v>3.4878659520670099</v>
      </c>
      <c r="L174">
        <v>19.9794949903735</v>
      </c>
      <c r="M174">
        <v>24.408110955118602</v>
      </c>
      <c r="N174" s="2">
        <f t="shared" si="46"/>
        <v>2.8186150218700678</v>
      </c>
      <c r="P174" s="2">
        <f t="shared" si="42"/>
        <v>18.536140888228786</v>
      </c>
      <c r="Q174" s="2">
        <f t="shared" si="43"/>
        <v>1.0872515250450695E-3</v>
      </c>
      <c r="R174" s="2">
        <f t="shared" si="44"/>
        <v>0.1222564767116821</v>
      </c>
      <c r="S174" s="2">
        <f t="shared" si="45"/>
        <v>0.50669653441719398</v>
      </c>
      <c r="T174" s="2">
        <v>6.9401903735920603E-2</v>
      </c>
      <c r="U174" s="2">
        <v>3.5202568881161703E-2</v>
      </c>
      <c r="V174" s="3">
        <f t="shared" si="47"/>
        <v>2.2268152697687327E-2</v>
      </c>
      <c r="W174">
        <v>14</v>
      </c>
      <c r="X174">
        <f t="shared" si="38"/>
        <v>2.6390573296152584</v>
      </c>
    </row>
    <row r="175" spans="1:24" x14ac:dyDescent="0.45">
      <c r="A175" t="s">
        <v>14</v>
      </c>
      <c r="B175">
        <v>12</v>
      </c>
      <c r="C175">
        <v>2018</v>
      </c>
      <c r="D175">
        <v>137768688</v>
      </c>
      <c r="E175">
        <v>13820154</v>
      </c>
      <c r="F175">
        <v>868289</v>
      </c>
      <c r="G175">
        <v>1813839</v>
      </c>
      <c r="H175">
        <v>4716110</v>
      </c>
      <c r="I175">
        <v>1465902</v>
      </c>
      <c r="J175">
        <v>48762243</v>
      </c>
      <c r="K175">
        <v>3.9598095587873798</v>
      </c>
      <c r="L175">
        <v>20.511087535654799</v>
      </c>
      <c r="M175">
        <v>25.6092485278987</v>
      </c>
      <c r="N175" s="2">
        <f t="shared" si="46"/>
        <v>2.6728801936389366</v>
      </c>
      <c r="O175" s="2">
        <v>0.41670000000000001</v>
      </c>
      <c r="P175" s="2">
        <f t="shared" si="42"/>
        <v>18.741086662857196</v>
      </c>
      <c r="Q175" s="2">
        <f t="shared" si="43"/>
        <v>6.3025133838829905E-3</v>
      </c>
      <c r="R175" s="2">
        <f t="shared" si="44"/>
        <v>0.10031418750246064</v>
      </c>
      <c r="S175" s="2">
        <f t="shared" si="45"/>
        <v>0.384604896832347</v>
      </c>
      <c r="T175" s="2">
        <v>7.4650068557275087E-2</v>
      </c>
      <c r="U175" s="2">
        <v>3.5396280594264098E-2</v>
      </c>
      <c r="V175" s="3">
        <f t="shared" si="47"/>
        <v>3.0062234831978504E-2</v>
      </c>
      <c r="W175">
        <v>30</v>
      </c>
      <c r="X175">
        <f t="shared" si="38"/>
        <v>3.4011973816621555</v>
      </c>
    </row>
    <row r="176" spans="1:24" x14ac:dyDescent="0.45">
      <c r="A176" t="s">
        <v>14</v>
      </c>
      <c r="B176">
        <v>12</v>
      </c>
      <c r="C176">
        <v>2019</v>
      </c>
      <c r="D176">
        <v>156977946</v>
      </c>
      <c r="E176">
        <v>14863521</v>
      </c>
      <c r="F176">
        <v>1043560</v>
      </c>
      <c r="G176">
        <v>1653050</v>
      </c>
      <c r="H176">
        <v>4715154</v>
      </c>
      <c r="I176">
        <v>1300442</v>
      </c>
      <c r="J176">
        <v>63594389</v>
      </c>
      <c r="K176">
        <v>4.0230286341449499</v>
      </c>
      <c r="L176">
        <v>21.918245362198</v>
      </c>
      <c r="M176">
        <v>26.1660509841828</v>
      </c>
      <c r="N176" s="2">
        <f t="shared" si="46"/>
        <v>2.622054336290538</v>
      </c>
      <c r="O176" s="2">
        <v>0.48430000000000001</v>
      </c>
      <c r="P176" s="2">
        <f t="shared" si="42"/>
        <v>18.871615882107982</v>
      </c>
      <c r="Q176" s="2">
        <f t="shared" si="43"/>
        <v>6.6478128080488452E-3</v>
      </c>
      <c r="R176" s="2">
        <f t="shared" si="44"/>
        <v>9.4685408866287499E-2</v>
      </c>
      <c r="S176" s="2">
        <f t="shared" si="45"/>
        <v>0.35058239879333741</v>
      </c>
      <c r="T176" s="2">
        <v>7.3592627010500566E-2</v>
      </c>
      <c r="U176" s="2">
        <v>2.7958236745225001E-2</v>
      </c>
      <c r="V176" s="3">
        <f t="shared" si="47"/>
        <v>2.0449005335989628E-2</v>
      </c>
      <c r="W176">
        <v>40</v>
      </c>
      <c r="X176">
        <f t="shared" si="38"/>
        <v>3.6888794541139363</v>
      </c>
    </row>
    <row r="177" spans="1:24" x14ac:dyDescent="0.45">
      <c r="A177" t="s">
        <v>14</v>
      </c>
      <c r="B177">
        <v>12</v>
      </c>
      <c r="C177">
        <v>2020</v>
      </c>
      <c r="D177">
        <v>176697625</v>
      </c>
      <c r="E177">
        <v>16874819</v>
      </c>
      <c r="F177">
        <v>2011144</v>
      </c>
      <c r="G177">
        <v>2360091</v>
      </c>
      <c r="H177">
        <v>7182480</v>
      </c>
      <c r="I177">
        <v>1557646</v>
      </c>
      <c r="J177">
        <v>79340579</v>
      </c>
      <c r="K177">
        <v>4.0399838659549498</v>
      </c>
      <c r="L177">
        <v>23.747196863397502</v>
      </c>
      <c r="M177">
        <v>26.4783455246633</v>
      </c>
      <c r="N177" s="2">
        <f t="shared" si="46"/>
        <v>2.6753743137738586</v>
      </c>
      <c r="O177" s="2">
        <v>0.55830000000000002</v>
      </c>
      <c r="P177" s="2">
        <f t="shared" si="42"/>
        <v>18.989950496339382</v>
      </c>
      <c r="Q177" s="2">
        <f t="shared" si="43"/>
        <v>1.138183945596326E-2</v>
      </c>
      <c r="R177" s="2">
        <f t="shared" si="44"/>
        <v>9.5501108178448924E-2</v>
      </c>
      <c r="S177" s="2">
        <f t="shared" si="45"/>
        <v>0.32858998563170383</v>
      </c>
      <c r="T177" s="2">
        <v>2.8654132091227212E-2</v>
      </c>
      <c r="U177" s="2">
        <v>3.2209343665251404E-2</v>
      </c>
      <c r="V177" s="3">
        <f t="shared" si="47"/>
        <v>1.9632400212254562E-2</v>
      </c>
      <c r="W177">
        <v>68</v>
      </c>
      <c r="X177">
        <f t="shared" si="38"/>
        <v>4.219507705176107</v>
      </c>
    </row>
    <row r="178" spans="1:24" x14ac:dyDescent="0.45">
      <c r="A178" t="s">
        <v>14</v>
      </c>
      <c r="B178">
        <v>12</v>
      </c>
      <c r="C178">
        <v>2021</v>
      </c>
      <c r="D178">
        <v>203665423</v>
      </c>
      <c r="E178">
        <v>22037785</v>
      </c>
      <c r="F178">
        <v>4034740</v>
      </c>
      <c r="G178">
        <v>4371998</v>
      </c>
      <c r="H178">
        <v>10588242</v>
      </c>
      <c r="I178">
        <v>1768793</v>
      </c>
      <c r="J178">
        <v>101562609</v>
      </c>
      <c r="K178">
        <v>2.9295233226858799</v>
      </c>
      <c r="L178">
        <v>25.554737309897</v>
      </c>
      <c r="M178">
        <v>27.207097804316199</v>
      </c>
      <c r="N178" s="2">
        <f t="shared" si="46"/>
        <v>2.855798818208779</v>
      </c>
      <c r="P178" s="2">
        <f t="shared" si="42"/>
        <v>19.131989122066138</v>
      </c>
      <c r="Q178" s="2">
        <f t="shared" si="43"/>
        <v>1.9810628336259122E-2</v>
      </c>
      <c r="R178" s="2">
        <f t="shared" si="44"/>
        <v>0.1082058244123255</v>
      </c>
      <c r="S178" s="2">
        <f t="shared" si="45"/>
        <v>0.41291066071213711</v>
      </c>
      <c r="T178" s="2">
        <v>2.5615641067098523E-2</v>
      </c>
      <c r="U178" s="2">
        <v>1.8347155481044399E-2</v>
      </c>
      <c r="V178" s="3">
        <f t="shared" si="47"/>
        <v>1.7415789308839042E-2</v>
      </c>
      <c r="W178">
        <v>87</v>
      </c>
      <c r="X178">
        <f t="shared" si="38"/>
        <v>4.4659081186545837</v>
      </c>
    </row>
    <row r="179" spans="1:24" x14ac:dyDescent="0.45">
      <c r="A179" t="s">
        <v>14</v>
      </c>
      <c r="B179">
        <v>12</v>
      </c>
      <c r="C179">
        <v>2022</v>
      </c>
      <c r="D179">
        <v>212775858</v>
      </c>
      <c r="E179">
        <v>26653998</v>
      </c>
      <c r="F179">
        <v>4616213</v>
      </c>
      <c r="G179">
        <v>2371883</v>
      </c>
      <c r="H179">
        <v>10693674</v>
      </c>
      <c r="I179">
        <v>2068753</v>
      </c>
      <c r="J179">
        <v>120643542</v>
      </c>
      <c r="K179">
        <v>3.0268176838110499</v>
      </c>
      <c r="L179">
        <v>19.886983507523201</v>
      </c>
      <c r="M179">
        <v>27.746488205671799</v>
      </c>
      <c r="N179" s="2">
        <f t="shared" si="46"/>
        <v>2.9938219217781188</v>
      </c>
      <c r="O179" s="2">
        <v>0.58089999999999997</v>
      </c>
      <c r="P179" s="2">
        <f t="shared" si="42"/>
        <v>19.175749859747789</v>
      </c>
      <c r="Q179" s="2">
        <f t="shared" si="43"/>
        <v>2.169519156632892E-2</v>
      </c>
      <c r="R179" s="2">
        <f t="shared" si="44"/>
        <v>0.1252679615560521</v>
      </c>
      <c r="S179" s="2">
        <f t="shared" si="45"/>
        <v>0.22180244133120197</v>
      </c>
      <c r="T179" s="2">
        <v>8.0197923744283764E-2</v>
      </c>
      <c r="U179" s="2">
        <v>3.1565074996312899E-2</v>
      </c>
      <c r="V179" s="3">
        <f t="shared" si="47"/>
        <v>1.7147648068887102E-2</v>
      </c>
      <c r="W179">
        <v>125</v>
      </c>
      <c r="X179">
        <f t="shared" si="38"/>
        <v>4.8283137373023015</v>
      </c>
    </row>
    <row r="180" spans="1:24" x14ac:dyDescent="0.45">
      <c r="A180" t="s">
        <v>14</v>
      </c>
      <c r="B180">
        <v>12</v>
      </c>
      <c r="C180">
        <v>2023</v>
      </c>
      <c r="D180">
        <v>267005838</v>
      </c>
      <c r="E180">
        <v>31298212</v>
      </c>
      <c r="F180">
        <v>4644214</v>
      </c>
      <c r="G180">
        <v>3070472</v>
      </c>
      <c r="H180">
        <v>12258987</v>
      </c>
      <c r="I180">
        <v>4280829</v>
      </c>
      <c r="J180">
        <v>149145386</v>
      </c>
      <c r="K180">
        <v>3.07187771218757</v>
      </c>
      <c r="L180">
        <v>19.004474740999601</v>
      </c>
      <c r="M180">
        <v>27.341668248477099</v>
      </c>
      <c r="N180" s="2">
        <f t="shared" si="46"/>
        <v>2.9060431615719211</v>
      </c>
      <c r="P180" s="2">
        <f t="shared" si="42"/>
        <v>19.402781081294023</v>
      </c>
      <c r="Q180" s="2">
        <f t="shared" si="43"/>
        <v>1.7393679609357456E-2</v>
      </c>
      <c r="R180" s="2">
        <f t="shared" si="44"/>
        <v>0.11721920477259377</v>
      </c>
      <c r="S180" s="2">
        <f t="shared" si="45"/>
        <v>0.25046702472235266</v>
      </c>
      <c r="T180" s="2">
        <v>5.0499999999999996E-2</v>
      </c>
      <c r="U180" s="2">
        <v>3.2500000000000001E-2</v>
      </c>
      <c r="V180" s="3">
        <f t="shared" si="47"/>
        <v>2.870238976082036E-2</v>
      </c>
      <c r="W180">
        <v>146</v>
      </c>
      <c r="X180">
        <f t="shared" si="38"/>
        <v>4.9836066217083363</v>
      </c>
    </row>
    <row r="181" spans="1:24" x14ac:dyDescent="0.45">
      <c r="A181" t="s">
        <v>14</v>
      </c>
      <c r="B181">
        <v>12</v>
      </c>
      <c r="C181">
        <v>2024</v>
      </c>
      <c r="D181">
        <v>320148089</v>
      </c>
      <c r="E181">
        <v>36817557</v>
      </c>
      <c r="F181">
        <v>5519377</v>
      </c>
      <c r="G181">
        <v>3975176</v>
      </c>
      <c r="H181">
        <v>14218240</v>
      </c>
      <c r="I181">
        <v>4721241</v>
      </c>
      <c r="J181">
        <v>176493451</v>
      </c>
      <c r="K181">
        <v>3.0966938195511502</v>
      </c>
      <c r="L181">
        <v>27.889422983664101</v>
      </c>
      <c r="M181">
        <v>27.243425052219401</v>
      </c>
      <c r="N181" s="2">
        <f t="shared" si="46"/>
        <v>2.8882714868547756</v>
      </c>
      <c r="P181" s="2">
        <f t="shared" si="42"/>
        <v>19.584294224834274</v>
      </c>
      <c r="Q181" s="2">
        <f t="shared" si="43"/>
        <v>1.7240074795511273E-2</v>
      </c>
      <c r="R181" s="2">
        <f t="shared" si="44"/>
        <v>0.11500164537917951</v>
      </c>
      <c r="S181" s="2">
        <f t="shared" si="45"/>
        <v>0.27958284569679509</v>
      </c>
      <c r="T181" s="2">
        <v>7.0900000000000005E-2</v>
      </c>
      <c r="U181" s="2">
        <v>3.6299999999999999E-2</v>
      </c>
      <c r="V181" s="3">
        <f t="shared" si="47"/>
        <v>2.6750233355684116E-2</v>
      </c>
      <c r="W181">
        <v>231</v>
      </c>
      <c r="X181">
        <f t="shared" si="38"/>
        <v>5.4424177105217932</v>
      </c>
    </row>
    <row r="182" spans="1:24" x14ac:dyDescent="0.45">
      <c r="A182" t="s">
        <v>15</v>
      </c>
      <c r="B182">
        <v>13</v>
      </c>
      <c r="C182">
        <v>2010</v>
      </c>
      <c r="D182">
        <v>14508724</v>
      </c>
      <c r="E182">
        <v>2174892</v>
      </c>
      <c r="F182">
        <v>138612</v>
      </c>
      <c r="G182">
        <v>137360</v>
      </c>
      <c r="H182">
        <v>399875</v>
      </c>
      <c r="J182">
        <v>5302112</v>
      </c>
      <c r="K182">
        <v>3.2718982631890698</v>
      </c>
      <c r="L182">
        <v>9.7075901186610398</v>
      </c>
      <c r="M182">
        <v>17.334389639963199</v>
      </c>
      <c r="N182" s="2">
        <f t="shared" ref="N182:N196" si="48">LN((Q182+R182)/(_xlfn.STDEV.S($Q$182:$Q$196)))</f>
        <v>3.7369868533553325</v>
      </c>
      <c r="O182" s="2">
        <v>0.58140000000000003</v>
      </c>
      <c r="P182" s="2">
        <f t="shared" si="42"/>
        <v>16.49026068164131</v>
      </c>
      <c r="Q182" s="2">
        <f t="shared" si="43"/>
        <v>9.5537002426953604E-3</v>
      </c>
      <c r="R182" s="2">
        <f t="shared" si="44"/>
        <v>0.14990236219256772</v>
      </c>
      <c r="S182" s="2">
        <f t="shared" si="45"/>
        <v>0.34350734604563926</v>
      </c>
      <c r="T182" s="2">
        <v>6.4232448223948205E-2</v>
      </c>
      <c r="U182" s="2">
        <v>9.20746648778413E-2</v>
      </c>
      <c r="W182">
        <v>0</v>
      </c>
      <c r="X182" t="e">
        <f t="shared" si="38"/>
        <v>#NUM!</v>
      </c>
    </row>
    <row r="183" spans="1:24" x14ac:dyDescent="0.45">
      <c r="A183" t="s">
        <v>15</v>
      </c>
      <c r="B183">
        <v>13</v>
      </c>
      <c r="C183">
        <v>2011</v>
      </c>
      <c r="D183">
        <v>19037788</v>
      </c>
      <c r="E183">
        <v>3300324</v>
      </c>
      <c r="F183">
        <v>240522</v>
      </c>
      <c r="G183">
        <v>221699</v>
      </c>
      <c r="H183">
        <v>605720</v>
      </c>
      <c r="I183">
        <v>177199</v>
      </c>
      <c r="J183">
        <v>6245179</v>
      </c>
      <c r="K183">
        <v>3.59352181546691</v>
      </c>
      <c r="L183">
        <v>10.9472107468528</v>
      </c>
      <c r="M183">
        <v>19.912794817213701</v>
      </c>
      <c r="N183" s="2">
        <f t="shared" si="48"/>
        <v>3.8909135541878901</v>
      </c>
      <c r="O183" s="2">
        <v>0.41520000000000001</v>
      </c>
      <c r="P183" s="2">
        <f t="shared" si="42"/>
        <v>16.761936404107896</v>
      </c>
      <c r="Q183" s="2">
        <f t="shared" si="43"/>
        <v>1.2633925748096365E-2</v>
      </c>
      <c r="R183" s="2">
        <f t="shared" si="44"/>
        <v>0.17335648448233587</v>
      </c>
      <c r="S183" s="2">
        <f t="shared" si="45"/>
        <v>0.36600904708446147</v>
      </c>
      <c r="T183" s="2">
        <v>6.4131688968168274E-2</v>
      </c>
      <c r="U183" s="2">
        <v>0.18677732277070699</v>
      </c>
      <c r="V183" s="3">
        <f>I183/J183</f>
        <v>2.8373726357563168E-2</v>
      </c>
      <c r="W183">
        <v>0</v>
      </c>
      <c r="X183" t="e">
        <f t="shared" si="38"/>
        <v>#NUM!</v>
      </c>
    </row>
    <row r="184" spans="1:24" x14ac:dyDescent="0.45">
      <c r="A184" t="s">
        <v>15</v>
      </c>
      <c r="B184">
        <v>13</v>
      </c>
      <c r="C184">
        <v>2012</v>
      </c>
      <c r="D184">
        <v>16008223</v>
      </c>
      <c r="E184">
        <v>3276854</v>
      </c>
      <c r="F184">
        <v>180645</v>
      </c>
      <c r="G184">
        <v>189819</v>
      </c>
      <c r="H184">
        <v>637841</v>
      </c>
      <c r="J184">
        <v>6848139</v>
      </c>
      <c r="K184">
        <v>3.1504539182237998</v>
      </c>
      <c r="L184">
        <v>12.0614890394782</v>
      </c>
      <c r="M184">
        <v>20.9770541106558</v>
      </c>
      <c r="N184" s="2">
        <f t="shared" si="48"/>
        <v>4.040416686298161</v>
      </c>
      <c r="O184" s="2">
        <v>0.32440000000000002</v>
      </c>
      <c r="P184" s="2">
        <f t="shared" si="42"/>
        <v>16.588613085683409</v>
      </c>
      <c r="Q184" s="2">
        <f t="shared" si="43"/>
        <v>1.1284512965617733E-2</v>
      </c>
      <c r="R184" s="2">
        <f t="shared" si="44"/>
        <v>0.20469817293274836</v>
      </c>
      <c r="S184" s="2">
        <f t="shared" si="45"/>
        <v>0.29759610937522046</v>
      </c>
      <c r="T184" s="2">
        <v>5.5045447041188994E-2</v>
      </c>
      <c r="U184" s="2">
        <v>9.0947033955719195E-2</v>
      </c>
      <c r="W184">
        <v>11</v>
      </c>
      <c r="X184">
        <f t="shared" si="38"/>
        <v>2.3978952727983707</v>
      </c>
    </row>
    <row r="185" spans="1:24" x14ac:dyDescent="0.45">
      <c r="A185" t="s">
        <v>15</v>
      </c>
      <c r="B185">
        <v>13</v>
      </c>
      <c r="C185">
        <v>2013</v>
      </c>
      <c r="D185">
        <v>28781743</v>
      </c>
      <c r="E185">
        <v>3258465</v>
      </c>
      <c r="F185">
        <v>134826</v>
      </c>
      <c r="G185">
        <v>275241</v>
      </c>
      <c r="H185">
        <v>676373</v>
      </c>
      <c r="I185">
        <v>170845</v>
      </c>
      <c r="J185">
        <v>11570027</v>
      </c>
      <c r="K185">
        <v>3.6926464082046402</v>
      </c>
      <c r="L185">
        <v>12.840142796842899</v>
      </c>
      <c r="M185">
        <v>22.1573299611807</v>
      </c>
      <c r="N185" s="2">
        <f t="shared" si="48"/>
        <v>3.4350327031050267</v>
      </c>
      <c r="O185" s="2">
        <v>0.4839</v>
      </c>
      <c r="P185" s="2">
        <f t="shared" si="42"/>
        <v>17.175251820480536</v>
      </c>
      <c r="Q185" s="2">
        <f t="shared" si="43"/>
        <v>4.6844279027854563E-3</v>
      </c>
      <c r="R185" s="2">
        <f t="shared" si="44"/>
        <v>0.11321291417271011</v>
      </c>
      <c r="S185" s="2">
        <f t="shared" si="45"/>
        <v>0.4069367050429275</v>
      </c>
      <c r="T185" s="2">
        <v>5.5535108102607179E-2</v>
      </c>
      <c r="U185" s="2">
        <v>6.5926747589919191E-2</v>
      </c>
      <c r="V185" s="3">
        <f t="shared" ref="V185:V196" si="49">I185/J185</f>
        <v>1.4766171245754224E-2</v>
      </c>
      <c r="W185">
        <v>0</v>
      </c>
      <c r="X185" t="e">
        <f t="shared" si="38"/>
        <v>#NUM!</v>
      </c>
    </row>
    <row r="186" spans="1:24" x14ac:dyDescent="0.45">
      <c r="A186" t="s">
        <v>15</v>
      </c>
      <c r="B186">
        <v>13</v>
      </c>
      <c r="C186">
        <v>2014</v>
      </c>
      <c r="D186">
        <v>37293006</v>
      </c>
      <c r="E186">
        <v>3331226</v>
      </c>
      <c r="F186">
        <v>187165</v>
      </c>
      <c r="G186">
        <v>101544</v>
      </c>
      <c r="H186">
        <v>783697</v>
      </c>
      <c r="I186">
        <v>232800</v>
      </c>
      <c r="J186">
        <v>15861592</v>
      </c>
      <c r="K186">
        <v>3.8792484082456702</v>
      </c>
      <c r="L186">
        <v>14.6258764318214</v>
      </c>
      <c r="M186">
        <v>22.979955992336901</v>
      </c>
      <c r="N186" s="2">
        <f t="shared" si="48"/>
        <v>3.2121716991552924</v>
      </c>
      <c r="O186" s="2">
        <v>0.47339999999999999</v>
      </c>
      <c r="P186" s="2">
        <f t="shared" si="42"/>
        <v>17.434316360330051</v>
      </c>
      <c r="Q186" s="2">
        <f t="shared" si="43"/>
        <v>5.0187694711442679E-3</v>
      </c>
      <c r="R186" s="2">
        <f t="shared" si="44"/>
        <v>8.9325757221072499E-2</v>
      </c>
      <c r="S186" s="2">
        <f t="shared" si="45"/>
        <v>0.12957048451123329</v>
      </c>
      <c r="T186" s="2">
        <v>6.4222431211856723E-2</v>
      </c>
      <c r="U186" s="2">
        <v>4.0845544663761703E-2</v>
      </c>
      <c r="V186" s="3">
        <f t="shared" si="49"/>
        <v>1.4676963069028633E-2</v>
      </c>
      <c r="W186">
        <v>7</v>
      </c>
      <c r="X186">
        <f t="shared" si="38"/>
        <v>1.9459101490553132</v>
      </c>
    </row>
    <row r="187" spans="1:24" x14ac:dyDescent="0.45">
      <c r="A187" t="s">
        <v>15</v>
      </c>
      <c r="B187">
        <v>13</v>
      </c>
      <c r="C187">
        <v>2015</v>
      </c>
      <c r="D187">
        <v>35469965</v>
      </c>
      <c r="E187">
        <v>3414621</v>
      </c>
      <c r="F187">
        <v>194287</v>
      </c>
      <c r="G187">
        <v>104846</v>
      </c>
      <c r="H187">
        <v>1084640</v>
      </c>
      <c r="I187">
        <v>190529</v>
      </c>
      <c r="J187">
        <v>20866403</v>
      </c>
      <c r="K187">
        <v>3.7957611751290998</v>
      </c>
      <c r="L187">
        <v>15.8219673058815</v>
      </c>
      <c r="M187">
        <v>24.006275960852001</v>
      </c>
      <c r="N187" s="2">
        <f t="shared" si="48"/>
        <v>3.287692670160943</v>
      </c>
      <c r="O187" s="2">
        <v>0.57479999999999998</v>
      </c>
      <c r="P187" s="2">
        <f t="shared" si="42"/>
        <v>17.384196839999952</v>
      </c>
      <c r="Q187" s="2">
        <f t="shared" si="43"/>
        <v>5.4775075193899967E-3</v>
      </c>
      <c r="R187" s="2">
        <f t="shared" si="44"/>
        <v>9.6267955155862145E-2</v>
      </c>
      <c r="S187" s="2">
        <f t="shared" si="45"/>
        <v>9.6664331022274674E-2</v>
      </c>
      <c r="T187" s="2">
        <v>6.9871543059861096E-2</v>
      </c>
      <c r="U187" s="2">
        <v>6.3120090517575396E-3</v>
      </c>
      <c r="V187" s="3">
        <f t="shared" si="49"/>
        <v>9.1308981236488153E-3</v>
      </c>
      <c r="W187">
        <v>4</v>
      </c>
      <c r="X187">
        <f t="shared" si="38"/>
        <v>1.3862943611198906</v>
      </c>
    </row>
    <row r="188" spans="1:24" x14ac:dyDescent="0.45">
      <c r="A188" t="s">
        <v>15</v>
      </c>
      <c r="B188">
        <v>13</v>
      </c>
      <c r="C188">
        <v>2016</v>
      </c>
      <c r="D188">
        <v>42851605</v>
      </c>
      <c r="E188">
        <v>3433072</v>
      </c>
      <c r="F188">
        <v>32863</v>
      </c>
      <c r="G188">
        <v>160189</v>
      </c>
      <c r="H188">
        <v>1308785</v>
      </c>
      <c r="I188">
        <v>705957</v>
      </c>
      <c r="J188">
        <v>24039291</v>
      </c>
      <c r="K188">
        <v>3.8729071718276198</v>
      </c>
      <c r="L188">
        <v>18.127194558590599</v>
      </c>
      <c r="M188">
        <v>24.4994330579914</v>
      </c>
      <c r="N188" s="2">
        <f t="shared" si="48"/>
        <v>3.0582130556129545</v>
      </c>
      <c r="O188" s="2">
        <v>0.52559999999999996</v>
      </c>
      <c r="P188" s="2">
        <f t="shared" si="42"/>
        <v>17.573253658549302</v>
      </c>
      <c r="Q188" s="2">
        <f t="shared" si="43"/>
        <v>7.6690242990898479E-4</v>
      </c>
      <c r="R188" s="2">
        <f t="shared" si="44"/>
        <v>8.0115365573821568E-2</v>
      </c>
      <c r="S188" s="2">
        <f t="shared" si="45"/>
        <v>0.12239519860022846</v>
      </c>
      <c r="T188" s="2">
        <v>6.6900089266042351E-2</v>
      </c>
      <c r="U188" s="2">
        <v>2.6682481696908199E-2</v>
      </c>
      <c r="V188" s="3">
        <f t="shared" si="49"/>
        <v>2.9366797881019036E-2</v>
      </c>
      <c r="W188">
        <v>4</v>
      </c>
      <c r="X188">
        <f t="shared" si="38"/>
        <v>1.3862943611198906</v>
      </c>
    </row>
    <row r="189" spans="1:24" x14ac:dyDescent="0.45">
      <c r="A189" t="s">
        <v>15</v>
      </c>
      <c r="B189">
        <v>13</v>
      </c>
      <c r="C189">
        <v>2017</v>
      </c>
      <c r="D189">
        <v>54439880</v>
      </c>
      <c r="E189">
        <v>3667054</v>
      </c>
      <c r="F189">
        <v>239243</v>
      </c>
      <c r="G189">
        <v>497089</v>
      </c>
      <c r="H189">
        <v>1683160</v>
      </c>
      <c r="I189">
        <v>707814</v>
      </c>
      <c r="J189">
        <v>36345540</v>
      </c>
      <c r="K189">
        <v>3.4878659520670099</v>
      </c>
      <c r="L189">
        <v>19.9794949903735</v>
      </c>
      <c r="M189">
        <v>24.408110955118602</v>
      </c>
      <c r="N189" s="2">
        <f t="shared" si="48"/>
        <v>2.9384666115978098</v>
      </c>
      <c r="O189" s="2">
        <v>0.71240000000000003</v>
      </c>
      <c r="P189" s="2">
        <f t="shared" si="42"/>
        <v>17.812607531483536</v>
      </c>
      <c r="Q189" s="2">
        <f t="shared" si="43"/>
        <v>4.3946276149028985E-3</v>
      </c>
      <c r="R189" s="2">
        <f t="shared" si="44"/>
        <v>6.7359700278545806E-2</v>
      </c>
      <c r="S189" s="2">
        <f t="shared" si="45"/>
        <v>0.29533080634045483</v>
      </c>
      <c r="T189" s="2">
        <v>6.9401903735920603E-2</v>
      </c>
      <c r="U189" s="2">
        <v>3.5202568881161703E-2</v>
      </c>
      <c r="V189" s="3">
        <f t="shared" si="49"/>
        <v>1.9474576523006673E-2</v>
      </c>
      <c r="W189">
        <v>3</v>
      </c>
      <c r="X189">
        <f t="shared" si="38"/>
        <v>1.0986122886681098</v>
      </c>
    </row>
    <row r="190" spans="1:24" x14ac:dyDescent="0.45">
      <c r="A190" t="s">
        <v>15</v>
      </c>
      <c r="B190">
        <v>13</v>
      </c>
      <c r="C190">
        <v>2018</v>
      </c>
      <c r="D190">
        <v>75059004</v>
      </c>
      <c r="E190">
        <v>4230082</v>
      </c>
      <c r="F190">
        <v>591274</v>
      </c>
      <c r="G190">
        <v>89627</v>
      </c>
      <c r="H190">
        <v>1796240</v>
      </c>
      <c r="I190">
        <v>784722</v>
      </c>
      <c r="J190">
        <v>50814947</v>
      </c>
      <c r="K190">
        <v>3.9598095587873798</v>
      </c>
      <c r="L190">
        <v>20.511087535654799</v>
      </c>
      <c r="M190">
        <v>25.6092485278987</v>
      </c>
      <c r="N190" s="2">
        <f t="shared" si="48"/>
        <v>2.8277544107506327</v>
      </c>
      <c r="P190" s="2">
        <f t="shared" si="42"/>
        <v>18.133785082198617</v>
      </c>
      <c r="Q190" s="2">
        <f t="shared" si="43"/>
        <v>7.8774559811638327E-3</v>
      </c>
      <c r="R190" s="2">
        <f t="shared" si="44"/>
        <v>5.6356756345980821E-2</v>
      </c>
      <c r="S190" s="2">
        <f t="shared" si="45"/>
        <v>4.9897007081459048E-2</v>
      </c>
      <c r="T190" s="2">
        <v>7.4650068557275087E-2</v>
      </c>
      <c r="U190" s="2">
        <v>3.5396280594264098E-2</v>
      </c>
      <c r="V190" s="3">
        <f t="shared" si="49"/>
        <v>1.544273971199852E-2</v>
      </c>
      <c r="W190">
        <v>2</v>
      </c>
      <c r="X190">
        <f t="shared" si="38"/>
        <v>0.69314718055994529</v>
      </c>
    </row>
    <row r="191" spans="1:24" x14ac:dyDescent="0.45">
      <c r="A191" t="s">
        <v>15</v>
      </c>
      <c r="B191">
        <v>13</v>
      </c>
      <c r="C191">
        <v>2019</v>
      </c>
      <c r="D191">
        <v>94687435</v>
      </c>
      <c r="E191">
        <v>4960385</v>
      </c>
      <c r="F191">
        <v>731788</v>
      </c>
      <c r="G191">
        <v>279917</v>
      </c>
      <c r="H191">
        <v>2466053</v>
      </c>
      <c r="I191">
        <v>1333762</v>
      </c>
      <c r="J191">
        <v>67545653</v>
      </c>
      <c r="K191">
        <v>4.0230286341449499</v>
      </c>
      <c r="L191">
        <v>21.918245362198</v>
      </c>
      <c r="M191">
        <v>26.1660509841828</v>
      </c>
      <c r="N191" s="2">
        <f t="shared" si="48"/>
        <v>2.7614844827525942</v>
      </c>
      <c r="O191" s="2">
        <v>0.73819999999999997</v>
      </c>
      <c r="P191" s="2">
        <f t="shared" si="42"/>
        <v>18.366091867199081</v>
      </c>
      <c r="Q191" s="2">
        <f t="shared" si="43"/>
        <v>7.7284594307576292E-3</v>
      </c>
      <c r="R191" s="2">
        <f t="shared" si="44"/>
        <v>5.2386940252421028E-2</v>
      </c>
      <c r="S191" s="2">
        <f t="shared" si="45"/>
        <v>0.11350810384042841</v>
      </c>
      <c r="T191" s="2">
        <v>7.3592627010500566E-2</v>
      </c>
      <c r="U191" s="2">
        <v>2.7958236745225001E-2</v>
      </c>
      <c r="V191" s="3">
        <f t="shared" si="49"/>
        <v>1.9746081957339283E-2</v>
      </c>
      <c r="W191">
        <v>9</v>
      </c>
      <c r="X191">
        <f t="shared" si="38"/>
        <v>2.1972245773362196</v>
      </c>
    </row>
    <row r="192" spans="1:24" x14ac:dyDescent="0.45">
      <c r="A192" t="s">
        <v>15</v>
      </c>
      <c r="B192">
        <v>13</v>
      </c>
      <c r="C192">
        <v>2020</v>
      </c>
      <c r="D192">
        <v>134315195</v>
      </c>
      <c r="E192">
        <v>6598770</v>
      </c>
      <c r="F192">
        <v>799664</v>
      </c>
      <c r="G192">
        <v>590519</v>
      </c>
      <c r="H192">
        <v>3194464</v>
      </c>
      <c r="I192">
        <v>743770</v>
      </c>
      <c r="J192">
        <v>89171618</v>
      </c>
      <c r="K192">
        <v>4.0399838659549498</v>
      </c>
      <c r="L192">
        <v>23.747196863397502</v>
      </c>
      <c r="M192">
        <v>26.4783455246633</v>
      </c>
      <c r="N192" s="2">
        <f t="shared" si="48"/>
        <v>2.6740528355323634</v>
      </c>
      <c r="O192" s="2">
        <v>0.69679999999999997</v>
      </c>
      <c r="P192" s="2">
        <f t="shared" si="42"/>
        <v>18.715699797312279</v>
      </c>
      <c r="Q192" s="2">
        <f t="shared" si="43"/>
        <v>5.9536376357120276E-3</v>
      </c>
      <c r="R192" s="2">
        <f t="shared" si="44"/>
        <v>4.912899095295957E-2</v>
      </c>
      <c r="S192" s="2">
        <f t="shared" si="45"/>
        <v>0.18485699009286066</v>
      </c>
      <c r="T192" s="2">
        <v>2.8654132091227212E-2</v>
      </c>
      <c r="U192" s="2">
        <v>3.2209343665251404E-2</v>
      </c>
      <c r="V192" s="3">
        <f t="shared" si="49"/>
        <v>8.3408826337546104E-3</v>
      </c>
      <c r="W192">
        <v>2</v>
      </c>
      <c r="X192">
        <f t="shared" si="38"/>
        <v>0.69314718055994529</v>
      </c>
    </row>
    <row r="193" spans="1:24" x14ac:dyDescent="0.45">
      <c r="A193" t="s">
        <v>15</v>
      </c>
      <c r="B193">
        <v>13</v>
      </c>
      <c r="C193">
        <v>2021</v>
      </c>
      <c r="D193">
        <v>153237506</v>
      </c>
      <c r="E193">
        <v>8024842</v>
      </c>
      <c r="F193">
        <v>1434363</v>
      </c>
      <c r="G193">
        <v>535485</v>
      </c>
      <c r="H193">
        <v>4818674</v>
      </c>
      <c r="I193">
        <v>1613137</v>
      </c>
      <c r="J193">
        <v>102653266</v>
      </c>
      <c r="K193">
        <v>2.9295233226858799</v>
      </c>
      <c r="L193">
        <v>25.554737309897</v>
      </c>
      <c r="M193">
        <v>27.207097804316199</v>
      </c>
      <c r="N193" s="2">
        <f t="shared" si="48"/>
        <v>2.7879730155882871</v>
      </c>
      <c r="P193" s="2">
        <f t="shared" ref="P193:P225" si="50">LN(D193)</f>
        <v>18.847499602540292</v>
      </c>
      <c r="Q193" s="2">
        <f t="shared" ref="Q193:Q225" si="51">F193/D193</f>
        <v>9.3603911825607504E-3</v>
      </c>
      <c r="R193" s="2">
        <f t="shared" ref="R193:R225" si="52">E193/D193</f>
        <v>5.2368654446777539E-2</v>
      </c>
      <c r="S193" s="2">
        <f t="shared" ref="S193:S225" si="53">G193/H193</f>
        <v>0.1111270444939832</v>
      </c>
      <c r="T193" s="2">
        <v>2.5615641067098523E-2</v>
      </c>
      <c r="U193" s="2">
        <v>1.8347155481044399E-2</v>
      </c>
      <c r="V193" s="3">
        <f t="shared" si="49"/>
        <v>1.571442451718974E-2</v>
      </c>
      <c r="W193">
        <v>3</v>
      </c>
      <c r="X193">
        <f t="shared" si="38"/>
        <v>1.0986122886681098</v>
      </c>
    </row>
    <row r="194" spans="1:24" x14ac:dyDescent="0.45">
      <c r="A194" t="s">
        <v>15</v>
      </c>
      <c r="B194">
        <v>13</v>
      </c>
      <c r="C194">
        <v>2022</v>
      </c>
      <c r="D194">
        <v>177578734</v>
      </c>
      <c r="E194">
        <v>12649780</v>
      </c>
      <c r="F194">
        <v>1807876</v>
      </c>
      <c r="G194">
        <v>854179</v>
      </c>
      <c r="H194">
        <v>5973300</v>
      </c>
      <c r="I194">
        <v>1611238</v>
      </c>
      <c r="J194">
        <v>119538340</v>
      </c>
      <c r="K194">
        <v>3.0268176838110499</v>
      </c>
      <c r="L194">
        <v>19.886983507523201</v>
      </c>
      <c r="M194">
        <v>27.746488205671799</v>
      </c>
      <c r="N194" s="2">
        <f t="shared" si="48"/>
        <v>3.0647837375286269</v>
      </c>
      <c r="O194" s="2">
        <v>0.74460000000000004</v>
      </c>
      <c r="P194" s="2">
        <f t="shared" si="50"/>
        <v>18.994924640361827</v>
      </c>
      <c r="Q194" s="2">
        <f t="shared" si="51"/>
        <v>1.0180701029212202E-2</v>
      </c>
      <c r="R194" s="2">
        <f t="shared" si="52"/>
        <v>7.123476846050722E-2</v>
      </c>
      <c r="S194" s="2">
        <f t="shared" si="53"/>
        <v>0.14299951450621934</v>
      </c>
      <c r="T194" s="2">
        <v>8.0197923744283764E-2</v>
      </c>
      <c r="U194" s="2">
        <v>3.1565074996312899E-2</v>
      </c>
      <c r="V194" s="3">
        <f t="shared" si="49"/>
        <v>1.3478838672178315E-2</v>
      </c>
      <c r="W194">
        <v>0</v>
      </c>
      <c r="X194" t="e">
        <f t="shared" si="38"/>
        <v>#NUM!</v>
      </c>
    </row>
    <row r="195" spans="1:24" x14ac:dyDescent="0.45">
      <c r="A195" t="s">
        <v>15</v>
      </c>
      <c r="B195">
        <v>13</v>
      </c>
      <c r="C195">
        <v>2023</v>
      </c>
      <c r="D195">
        <v>209896239</v>
      </c>
      <c r="E195">
        <v>15241792</v>
      </c>
      <c r="F195">
        <v>2621619</v>
      </c>
      <c r="G195">
        <v>996902</v>
      </c>
      <c r="H195">
        <v>7644211</v>
      </c>
      <c r="I195">
        <v>2989122</v>
      </c>
      <c r="J195">
        <v>141438441</v>
      </c>
      <c r="K195">
        <v>3.07187771218757</v>
      </c>
      <c r="L195">
        <v>19.004474740999601</v>
      </c>
      <c r="M195">
        <v>27.341668248477099</v>
      </c>
      <c r="N195" s="2">
        <f t="shared" si="48"/>
        <v>3.1091149527323267</v>
      </c>
      <c r="P195" s="2">
        <f t="shared" si="50"/>
        <v>19.162123866574113</v>
      </c>
      <c r="Q195" s="2">
        <f t="shared" si="51"/>
        <v>1.2490071344251194E-2</v>
      </c>
      <c r="R195" s="2">
        <f t="shared" si="52"/>
        <v>7.2615841391993688E-2</v>
      </c>
      <c r="S195" s="2">
        <f t="shared" si="53"/>
        <v>0.13041267437541951</v>
      </c>
      <c r="T195" s="2">
        <v>5.0499999999999996E-2</v>
      </c>
      <c r="U195" s="2">
        <v>3.2500000000000001E-2</v>
      </c>
      <c r="V195" s="3">
        <f t="shared" si="49"/>
        <v>2.1133731246373112E-2</v>
      </c>
      <c r="W195">
        <v>0</v>
      </c>
      <c r="X195" t="e">
        <f t="shared" ref="X195:X258" si="54">LN(W195)</f>
        <v>#NUM!</v>
      </c>
    </row>
    <row r="196" spans="1:24" x14ac:dyDescent="0.45">
      <c r="A196" t="s">
        <v>15</v>
      </c>
      <c r="B196">
        <v>13</v>
      </c>
      <c r="C196">
        <v>2024</v>
      </c>
      <c r="D196">
        <v>245128983</v>
      </c>
      <c r="E196">
        <v>19288533</v>
      </c>
      <c r="F196">
        <v>3607093</v>
      </c>
      <c r="G196">
        <v>1114243</v>
      </c>
      <c r="H196">
        <v>9052063</v>
      </c>
      <c r="I196">
        <v>3908979</v>
      </c>
      <c r="J196">
        <v>167737997</v>
      </c>
      <c r="K196">
        <v>3.0966938195511502</v>
      </c>
      <c r="L196">
        <v>27.889422983664101</v>
      </c>
      <c r="M196">
        <v>27.243425052219401</v>
      </c>
      <c r="N196" s="2">
        <f t="shared" si="48"/>
        <v>3.2021350733994813</v>
      </c>
      <c r="P196" s="2">
        <f t="shared" si="50"/>
        <v>19.317295091201398</v>
      </c>
      <c r="Q196" s="2">
        <f t="shared" si="51"/>
        <v>1.4715081651523843E-2</v>
      </c>
      <c r="R196" s="2">
        <f t="shared" si="52"/>
        <v>7.8687280320499681E-2</v>
      </c>
      <c r="S196" s="2">
        <f t="shared" si="53"/>
        <v>0.12309271378248252</v>
      </c>
      <c r="T196" s="2">
        <v>7.0900000000000005E-2</v>
      </c>
      <c r="U196" s="2">
        <v>3.6299999999999999E-2</v>
      </c>
      <c r="V196" s="3">
        <f t="shared" si="49"/>
        <v>2.3304075820101751E-2</v>
      </c>
      <c r="W196">
        <v>6</v>
      </c>
      <c r="X196">
        <f t="shared" si="54"/>
        <v>1.791759469228055</v>
      </c>
    </row>
    <row r="197" spans="1:24" x14ac:dyDescent="0.45">
      <c r="A197" t="s">
        <v>16</v>
      </c>
      <c r="B197">
        <v>14</v>
      </c>
      <c r="C197">
        <v>2010</v>
      </c>
      <c r="D197">
        <v>20016386</v>
      </c>
      <c r="E197">
        <v>2022338</v>
      </c>
      <c r="F197">
        <v>156914</v>
      </c>
      <c r="G197">
        <v>36172</v>
      </c>
      <c r="H197">
        <v>526437</v>
      </c>
      <c r="J197">
        <v>10766555</v>
      </c>
      <c r="K197">
        <v>3.2718982631890698</v>
      </c>
      <c r="L197">
        <v>9.7075901186610398</v>
      </c>
      <c r="M197">
        <v>17.334389639963199</v>
      </c>
      <c r="N197" s="2">
        <f t="shared" ref="N197:N211" si="55">LN((Q197+R197)/(_xlfn.STDEV.S($Q$197:$Q$211)))</f>
        <v>2.217069230747994</v>
      </c>
      <c r="P197" s="2">
        <f t="shared" si="50"/>
        <v>16.812061796075227</v>
      </c>
      <c r="Q197" s="2">
        <f t="shared" si="51"/>
        <v>7.8392772801243946E-3</v>
      </c>
      <c r="R197" s="2">
        <f t="shared" si="52"/>
        <v>0.10103412274323646</v>
      </c>
      <c r="S197" s="2">
        <f t="shared" si="53"/>
        <v>6.8710975862258925E-2</v>
      </c>
      <c r="T197" s="2">
        <v>6.4232448223948205E-2</v>
      </c>
      <c r="U197" s="2">
        <v>9.20746648778413E-2</v>
      </c>
      <c r="W197">
        <v>11</v>
      </c>
      <c r="X197">
        <f t="shared" si="54"/>
        <v>2.3978952727983707</v>
      </c>
    </row>
    <row r="198" spans="1:24" x14ac:dyDescent="0.45">
      <c r="A198" t="s">
        <v>16</v>
      </c>
      <c r="B198">
        <v>14</v>
      </c>
      <c r="C198">
        <v>2011</v>
      </c>
      <c r="D198">
        <v>22496047</v>
      </c>
      <c r="E198">
        <v>3216001</v>
      </c>
      <c r="F198">
        <v>166201</v>
      </c>
      <c r="G198">
        <v>0</v>
      </c>
      <c r="H198">
        <v>685881</v>
      </c>
      <c r="J198">
        <v>12914682</v>
      </c>
      <c r="K198">
        <v>3.59352181546691</v>
      </c>
      <c r="L198">
        <v>10.9472107468528</v>
      </c>
      <c r="M198">
        <v>19.912794817213701</v>
      </c>
      <c r="N198" s="2">
        <f t="shared" si="55"/>
        <v>2.5398261419808619</v>
      </c>
      <c r="P198" s="2">
        <f t="shared" si="50"/>
        <v>16.928850162850658</v>
      </c>
      <c r="Q198" s="2">
        <f t="shared" si="51"/>
        <v>7.3880091022213816E-3</v>
      </c>
      <c r="R198" s="2">
        <f t="shared" si="52"/>
        <v>0.14295849399674529</v>
      </c>
      <c r="S198" s="2">
        <f t="shared" si="53"/>
        <v>0</v>
      </c>
      <c r="T198" s="2">
        <v>6.4131688968168274E-2</v>
      </c>
      <c r="U198" s="2">
        <v>0.18677732277070699</v>
      </c>
      <c r="W198">
        <v>19</v>
      </c>
      <c r="X198">
        <f t="shared" si="54"/>
        <v>2.9444389791664403</v>
      </c>
    </row>
    <row r="199" spans="1:24" x14ac:dyDescent="0.45">
      <c r="A199" t="s">
        <v>16</v>
      </c>
      <c r="B199">
        <v>14</v>
      </c>
      <c r="C199">
        <v>2012</v>
      </c>
      <c r="D199">
        <v>21585214</v>
      </c>
      <c r="E199">
        <v>3184908</v>
      </c>
      <c r="F199">
        <v>2174</v>
      </c>
      <c r="G199">
        <v>9818</v>
      </c>
      <c r="H199">
        <v>742229</v>
      </c>
      <c r="J199">
        <v>12885655</v>
      </c>
      <c r="K199">
        <v>3.1504539182237998</v>
      </c>
      <c r="L199">
        <v>12.0614890394782</v>
      </c>
      <c r="M199">
        <v>20.9770541106558</v>
      </c>
      <c r="N199" s="2">
        <f t="shared" si="55"/>
        <v>2.5217359915826618</v>
      </c>
      <c r="P199" s="2">
        <f t="shared" si="50"/>
        <v>16.887519101214902</v>
      </c>
      <c r="Q199" s="2">
        <f t="shared" si="51"/>
        <v>1.0071709272838342E-4</v>
      </c>
      <c r="R199" s="2">
        <f t="shared" si="52"/>
        <v>0.14755044819106264</v>
      </c>
      <c r="S199" s="2">
        <f t="shared" si="53"/>
        <v>1.3227723519291216E-2</v>
      </c>
      <c r="T199" s="2">
        <v>5.5045447041188994E-2</v>
      </c>
      <c r="U199" s="2">
        <v>9.0947033955719195E-2</v>
      </c>
      <c r="W199">
        <v>8</v>
      </c>
      <c r="X199">
        <f t="shared" si="54"/>
        <v>2.0794415416798357</v>
      </c>
    </row>
    <row r="200" spans="1:24" x14ac:dyDescent="0.45">
      <c r="A200" t="s">
        <v>16</v>
      </c>
      <c r="B200">
        <v>14</v>
      </c>
      <c r="C200">
        <v>2013</v>
      </c>
      <c r="D200">
        <v>29074356</v>
      </c>
      <c r="E200">
        <v>3203537</v>
      </c>
      <c r="F200">
        <v>18454</v>
      </c>
      <c r="G200">
        <v>70506</v>
      </c>
      <c r="H200">
        <v>666546</v>
      </c>
      <c r="J200">
        <v>13475390</v>
      </c>
      <c r="K200">
        <v>3.6926464082046402</v>
      </c>
      <c r="L200">
        <v>12.840142796842899</v>
      </c>
      <c r="M200">
        <v>22.1573299611807</v>
      </c>
      <c r="N200" s="2">
        <f t="shared" si="55"/>
        <v>2.2347817131113281</v>
      </c>
      <c r="P200" s="2">
        <f t="shared" si="50"/>
        <v>17.185367106510625</v>
      </c>
      <c r="Q200" s="2">
        <f t="shared" si="51"/>
        <v>6.3471741214147614E-4</v>
      </c>
      <c r="R200" s="2">
        <f t="shared" si="52"/>
        <v>0.11018428060796945</v>
      </c>
      <c r="S200" s="2">
        <f t="shared" si="53"/>
        <v>0.10577814584439783</v>
      </c>
      <c r="T200" s="2">
        <v>5.5535108102607179E-2</v>
      </c>
      <c r="U200" s="2">
        <v>6.5926747589919191E-2</v>
      </c>
      <c r="W200">
        <v>7</v>
      </c>
      <c r="X200">
        <f t="shared" si="54"/>
        <v>1.9459101490553132</v>
      </c>
    </row>
    <row r="201" spans="1:24" x14ac:dyDescent="0.45">
      <c r="A201" t="s">
        <v>16</v>
      </c>
      <c r="B201">
        <v>14</v>
      </c>
      <c r="C201">
        <v>2014</v>
      </c>
      <c r="D201">
        <v>36837069</v>
      </c>
      <c r="E201">
        <v>3211672</v>
      </c>
      <c r="F201">
        <v>8134</v>
      </c>
      <c r="G201">
        <v>63097</v>
      </c>
      <c r="H201">
        <v>663579</v>
      </c>
      <c r="I201">
        <v>420115</v>
      </c>
      <c r="J201">
        <v>16640657</v>
      </c>
      <c r="K201">
        <v>3.8792484082456702</v>
      </c>
      <c r="L201">
        <v>14.6258764318214</v>
      </c>
      <c r="M201">
        <v>22.979955992336901</v>
      </c>
      <c r="N201" s="2">
        <f t="shared" si="55"/>
        <v>1.9974552315355552</v>
      </c>
      <c r="P201" s="2">
        <f t="shared" si="50"/>
        <v>17.422015205925707</v>
      </c>
      <c r="Q201" s="2">
        <f t="shared" si="51"/>
        <v>2.2081018443676937E-4</v>
      </c>
      <c r="R201" s="2">
        <f t="shared" si="52"/>
        <v>8.7185872469929676E-2</v>
      </c>
      <c r="S201" s="2">
        <f t="shared" si="53"/>
        <v>9.5085890300928746E-2</v>
      </c>
      <c r="T201" s="2">
        <v>6.4222431211856723E-2</v>
      </c>
      <c r="U201" s="2">
        <v>4.0845544663761703E-2</v>
      </c>
      <c r="V201" s="3">
        <f>I201/J201</f>
        <v>2.5246298869089124E-2</v>
      </c>
      <c r="W201">
        <v>9</v>
      </c>
      <c r="X201">
        <f t="shared" si="54"/>
        <v>2.1972245773362196</v>
      </c>
    </row>
    <row r="202" spans="1:24" x14ac:dyDescent="0.45">
      <c r="A202" t="s">
        <v>16</v>
      </c>
      <c r="B202">
        <v>14</v>
      </c>
      <c r="C202">
        <v>2015</v>
      </c>
      <c r="D202">
        <v>48230002</v>
      </c>
      <c r="E202">
        <v>3217325</v>
      </c>
      <c r="F202">
        <v>6490</v>
      </c>
      <c r="G202">
        <v>3778</v>
      </c>
      <c r="H202">
        <v>766657</v>
      </c>
      <c r="I202">
        <v>439217</v>
      </c>
      <c r="J202">
        <v>20431441</v>
      </c>
      <c r="K202">
        <v>3.7957611751290998</v>
      </c>
      <c r="L202">
        <v>15.8219673058815</v>
      </c>
      <c r="M202">
        <v>24.006275960852001</v>
      </c>
      <c r="N202" s="2">
        <f t="shared" si="55"/>
        <v>1.7292229355180118</v>
      </c>
      <c r="P202" s="2">
        <f t="shared" si="50"/>
        <v>17.691491833513119</v>
      </c>
      <c r="Q202" s="2">
        <f t="shared" si="51"/>
        <v>1.3456354407781281E-4</v>
      </c>
      <c r="R202" s="2">
        <f t="shared" si="52"/>
        <v>6.6707959083227908E-2</v>
      </c>
      <c r="S202" s="2">
        <f t="shared" si="53"/>
        <v>4.9278882211993107E-3</v>
      </c>
      <c r="T202" s="2">
        <v>6.9871543059861096E-2</v>
      </c>
      <c r="U202" s="2">
        <v>6.3120090517575396E-3</v>
      </c>
      <c r="V202" s="3">
        <f>I202/J202</f>
        <v>2.1497113199210962E-2</v>
      </c>
      <c r="W202">
        <v>14</v>
      </c>
      <c r="X202">
        <f t="shared" si="54"/>
        <v>2.6390573296152584</v>
      </c>
    </row>
    <row r="203" spans="1:24" x14ac:dyDescent="0.45">
      <c r="A203" t="s">
        <v>16</v>
      </c>
      <c r="B203">
        <v>14</v>
      </c>
      <c r="C203">
        <v>2016</v>
      </c>
      <c r="D203">
        <v>69011009</v>
      </c>
      <c r="E203">
        <v>3228165</v>
      </c>
      <c r="F203">
        <v>10838</v>
      </c>
      <c r="G203">
        <v>121424</v>
      </c>
      <c r="H203">
        <v>1074288</v>
      </c>
      <c r="I203">
        <v>376375</v>
      </c>
      <c r="J203">
        <v>25352217</v>
      </c>
      <c r="K203">
        <v>3.8729071718276198</v>
      </c>
      <c r="L203">
        <v>18.127194558590599</v>
      </c>
      <c r="M203">
        <v>24.4994330579914</v>
      </c>
      <c r="N203" s="2">
        <f t="shared" si="55"/>
        <v>1.3756382940084113</v>
      </c>
      <c r="P203" s="2">
        <f t="shared" si="50"/>
        <v>18.049776600559309</v>
      </c>
      <c r="Q203" s="2">
        <f t="shared" si="51"/>
        <v>1.5704740674056801E-4</v>
      </c>
      <c r="R203" s="2">
        <f t="shared" si="52"/>
        <v>4.6777536610137088E-2</v>
      </c>
      <c r="S203" s="2">
        <f t="shared" si="53"/>
        <v>0.11302741909059769</v>
      </c>
      <c r="T203" s="2">
        <v>6.6900089266042351E-2</v>
      </c>
      <c r="U203" s="2">
        <v>2.6682481696908199E-2</v>
      </c>
      <c r="V203" s="3">
        <f>I203/J203</f>
        <v>1.4845841687139235E-2</v>
      </c>
      <c r="W203">
        <v>25</v>
      </c>
      <c r="X203">
        <f t="shared" si="54"/>
        <v>3.2188758248682006</v>
      </c>
    </row>
    <row r="204" spans="1:24" x14ac:dyDescent="0.45">
      <c r="A204" t="s">
        <v>16</v>
      </c>
      <c r="B204">
        <v>14</v>
      </c>
      <c r="C204">
        <v>2017</v>
      </c>
      <c r="D204">
        <v>71841565</v>
      </c>
      <c r="E204">
        <v>3218141</v>
      </c>
      <c r="F204">
        <v>21955</v>
      </c>
      <c r="G204">
        <v>107700</v>
      </c>
      <c r="H204">
        <v>1225206</v>
      </c>
      <c r="I204">
        <v>492311</v>
      </c>
      <c r="J204">
        <v>32110586</v>
      </c>
      <c r="K204">
        <v>3.4878659520670099</v>
      </c>
      <c r="L204">
        <v>19.9794949903735</v>
      </c>
      <c r="M204">
        <v>24.408110955118602</v>
      </c>
      <c r="N204" s="2">
        <f t="shared" si="55"/>
        <v>1.3357785209199839</v>
      </c>
      <c r="O204" s="2">
        <v>0.26540000000000002</v>
      </c>
      <c r="P204" s="2">
        <f t="shared" si="50"/>
        <v>18.089973766242096</v>
      </c>
      <c r="Q204" s="2">
        <f t="shared" si="51"/>
        <v>3.0560303078030105E-4</v>
      </c>
      <c r="R204" s="2">
        <f t="shared" si="52"/>
        <v>4.4794973494800674E-2</v>
      </c>
      <c r="S204" s="2">
        <f t="shared" si="53"/>
        <v>8.7903585193020606E-2</v>
      </c>
      <c r="T204" s="2">
        <v>6.9401903735920603E-2</v>
      </c>
      <c r="U204" s="2">
        <v>3.5202568881161703E-2</v>
      </c>
      <c r="V204" s="3">
        <f>I204/J204</f>
        <v>1.5331735148028753E-2</v>
      </c>
      <c r="W204">
        <v>2</v>
      </c>
      <c r="X204">
        <f t="shared" si="54"/>
        <v>0.69314718055994529</v>
      </c>
    </row>
    <row r="205" spans="1:24" x14ac:dyDescent="0.45">
      <c r="A205" t="s">
        <v>16</v>
      </c>
      <c r="B205">
        <v>14</v>
      </c>
      <c r="C205">
        <v>2018</v>
      </c>
      <c r="D205">
        <v>72422170</v>
      </c>
      <c r="E205">
        <v>3232766</v>
      </c>
      <c r="F205">
        <v>36240</v>
      </c>
      <c r="G205">
        <v>242844</v>
      </c>
      <c r="H205">
        <v>1224017</v>
      </c>
      <c r="J205">
        <v>35674111</v>
      </c>
      <c r="K205">
        <v>3.9598095587873798</v>
      </c>
      <c r="L205">
        <v>20.511087535654799</v>
      </c>
      <c r="M205">
        <v>25.6092485278987</v>
      </c>
      <c r="N205" s="2">
        <f t="shared" si="55"/>
        <v>1.3366122653800583</v>
      </c>
      <c r="O205" s="2">
        <v>0.30180000000000001</v>
      </c>
      <c r="P205" s="2">
        <f t="shared" si="50"/>
        <v>18.098023025951171</v>
      </c>
      <c r="Q205" s="2">
        <f t="shared" si="51"/>
        <v>5.0039925619461555E-4</v>
      </c>
      <c r="R205" s="2">
        <f t="shared" si="52"/>
        <v>4.4637795304945986E-2</v>
      </c>
      <c r="S205" s="2">
        <f t="shared" si="53"/>
        <v>0.19839920523979651</v>
      </c>
      <c r="T205" s="2">
        <v>7.4650068557275087E-2</v>
      </c>
      <c r="U205" s="2">
        <v>3.5396280594264098E-2</v>
      </c>
      <c r="W205">
        <v>6</v>
      </c>
      <c r="X205">
        <f t="shared" si="54"/>
        <v>1.791759469228055</v>
      </c>
    </row>
    <row r="206" spans="1:24" x14ac:dyDescent="0.45">
      <c r="A206" t="s">
        <v>16</v>
      </c>
      <c r="B206">
        <v>14</v>
      </c>
      <c r="C206">
        <v>2019</v>
      </c>
      <c r="D206">
        <v>80394022</v>
      </c>
      <c r="E206">
        <v>4306672</v>
      </c>
      <c r="F206">
        <v>43142</v>
      </c>
      <c r="G206">
        <v>83381</v>
      </c>
      <c r="H206">
        <v>1241789</v>
      </c>
      <c r="I206">
        <v>730089</v>
      </c>
      <c r="J206">
        <v>37910603</v>
      </c>
      <c r="K206">
        <v>4.0230286341449499</v>
      </c>
      <c r="L206">
        <v>21.918245362198</v>
      </c>
      <c r="M206">
        <v>26.1660509841828</v>
      </c>
      <c r="N206" s="2">
        <f t="shared" si="55"/>
        <v>1.5178320355818642</v>
      </c>
      <c r="O206" s="2">
        <v>0.39279999999999998</v>
      </c>
      <c r="P206" s="2">
        <f t="shared" si="50"/>
        <v>18.202450378151024</v>
      </c>
      <c r="Q206" s="2">
        <f t="shared" si="51"/>
        <v>5.3663194012111993E-4</v>
      </c>
      <c r="R206" s="2">
        <f t="shared" si="52"/>
        <v>5.3569555208968146E-2</v>
      </c>
      <c r="S206" s="2">
        <f t="shared" si="53"/>
        <v>6.7145867776248619E-2</v>
      </c>
      <c r="T206" s="2">
        <v>7.3592627010500566E-2</v>
      </c>
      <c r="U206" s="2">
        <v>2.7958236745225001E-2</v>
      </c>
      <c r="V206" s="3">
        <f t="shared" ref="V206:V211" si="56">I206/J206</f>
        <v>1.9258174289657169E-2</v>
      </c>
      <c r="W206">
        <v>3</v>
      </c>
      <c r="X206">
        <f t="shared" si="54"/>
        <v>1.0986122886681098</v>
      </c>
    </row>
    <row r="207" spans="1:24" x14ac:dyDescent="0.45">
      <c r="A207" t="s">
        <v>16</v>
      </c>
      <c r="B207">
        <v>14</v>
      </c>
      <c r="C207">
        <v>2020</v>
      </c>
      <c r="D207">
        <v>89601240</v>
      </c>
      <c r="E207">
        <v>4262820</v>
      </c>
      <c r="F207">
        <v>1212</v>
      </c>
      <c r="G207">
        <v>221181</v>
      </c>
      <c r="H207">
        <v>1654923</v>
      </c>
      <c r="I207">
        <v>608832</v>
      </c>
      <c r="J207">
        <v>40313272</v>
      </c>
      <c r="K207">
        <v>4.0399838659549498</v>
      </c>
      <c r="L207">
        <v>23.747196863397502</v>
      </c>
      <c r="M207">
        <v>26.4783455246633</v>
      </c>
      <c r="N207" s="2">
        <f t="shared" si="55"/>
        <v>1.3894848025578661</v>
      </c>
      <c r="P207" s="2">
        <f t="shared" si="50"/>
        <v>18.310879717135112</v>
      </c>
      <c r="Q207" s="2">
        <f t="shared" si="51"/>
        <v>1.3526598515824111E-5</v>
      </c>
      <c r="R207" s="2">
        <f t="shared" si="52"/>
        <v>4.7575457661077014E-2</v>
      </c>
      <c r="S207" s="2">
        <f t="shared" si="53"/>
        <v>0.13365032693363982</v>
      </c>
      <c r="T207" s="2">
        <v>2.8654132091227212E-2</v>
      </c>
      <c r="U207" s="2">
        <v>3.2209343665251404E-2</v>
      </c>
      <c r="V207" s="3">
        <f t="shared" si="56"/>
        <v>1.5102520083212298E-2</v>
      </c>
      <c r="W207">
        <v>69</v>
      </c>
      <c r="X207">
        <f t="shared" si="54"/>
        <v>4.2341065045972597</v>
      </c>
    </row>
    <row r="208" spans="1:24" x14ac:dyDescent="0.45">
      <c r="A208" t="s">
        <v>16</v>
      </c>
      <c r="B208">
        <v>14</v>
      </c>
      <c r="C208">
        <v>2021</v>
      </c>
      <c r="D208">
        <v>73782685</v>
      </c>
      <c r="E208">
        <v>4264220</v>
      </c>
      <c r="F208">
        <v>1400</v>
      </c>
      <c r="G208">
        <v>442888</v>
      </c>
      <c r="H208">
        <v>1702107</v>
      </c>
      <c r="I208">
        <v>1249428</v>
      </c>
      <c r="J208">
        <v>41615019</v>
      </c>
      <c r="K208">
        <v>2.9295233226858799</v>
      </c>
      <c r="L208">
        <v>25.554737309897</v>
      </c>
      <c r="M208">
        <v>27.207097804316199</v>
      </c>
      <c r="N208" s="2">
        <f t="shared" si="55"/>
        <v>1.584102226383814</v>
      </c>
      <c r="P208" s="2">
        <f t="shared" si="50"/>
        <v>18.116634641446776</v>
      </c>
      <c r="Q208" s="2">
        <f t="shared" si="51"/>
        <v>1.8974641543608776E-5</v>
      </c>
      <c r="R208" s="2">
        <f t="shared" si="52"/>
        <v>5.7794318545062437E-2</v>
      </c>
      <c r="S208" s="2">
        <f t="shared" si="53"/>
        <v>0.26019985817577862</v>
      </c>
      <c r="T208" s="2">
        <v>2.5615641067098523E-2</v>
      </c>
      <c r="U208" s="2">
        <v>1.8347155481044399E-2</v>
      </c>
      <c r="V208" s="3">
        <f t="shared" si="56"/>
        <v>3.0023487433707526E-2</v>
      </c>
      <c r="W208">
        <v>76</v>
      </c>
      <c r="X208">
        <f t="shared" si="54"/>
        <v>4.3307333402863311</v>
      </c>
    </row>
    <row r="209" spans="1:24" x14ac:dyDescent="0.45">
      <c r="A209" t="s">
        <v>16</v>
      </c>
      <c r="B209">
        <v>14</v>
      </c>
      <c r="C209">
        <v>2022</v>
      </c>
      <c r="D209">
        <v>89847242</v>
      </c>
      <c r="E209">
        <v>5764228</v>
      </c>
      <c r="F209">
        <v>8</v>
      </c>
      <c r="G209">
        <v>405217</v>
      </c>
      <c r="H209">
        <v>1336994</v>
      </c>
      <c r="I209">
        <v>8556490</v>
      </c>
      <c r="J209">
        <v>47722273</v>
      </c>
      <c r="K209">
        <v>3.0268176838110499</v>
      </c>
      <c r="L209">
        <v>19.886983507523201</v>
      </c>
      <c r="M209">
        <v>27.746488205671799</v>
      </c>
      <c r="N209" s="2">
        <f t="shared" si="55"/>
        <v>1.6882004741363608</v>
      </c>
      <c r="P209" s="2">
        <f t="shared" si="50"/>
        <v>18.313621475118939</v>
      </c>
      <c r="Q209" s="2">
        <f t="shared" si="51"/>
        <v>8.9040017499925043E-8</v>
      </c>
      <c r="R209" s="2">
        <f t="shared" si="52"/>
        <v>6.4155870249194738E-2</v>
      </c>
      <c r="S209" s="2">
        <f t="shared" si="53"/>
        <v>0.30308064209712238</v>
      </c>
      <c r="T209" s="2">
        <v>8.0197923744283764E-2</v>
      </c>
      <c r="U209" s="2">
        <v>3.1565074996312899E-2</v>
      </c>
      <c r="V209" s="3">
        <f t="shared" si="56"/>
        <v>0.17929762063093685</v>
      </c>
      <c r="W209">
        <v>37</v>
      </c>
      <c r="X209">
        <f t="shared" si="54"/>
        <v>3.6109179126442243</v>
      </c>
    </row>
    <row r="210" spans="1:24" x14ac:dyDescent="0.45">
      <c r="A210" t="s">
        <v>16</v>
      </c>
      <c r="B210">
        <v>14</v>
      </c>
      <c r="C210">
        <v>2023</v>
      </c>
      <c r="D210">
        <v>96249499</v>
      </c>
      <c r="E210">
        <v>5094672</v>
      </c>
      <c r="F210">
        <v>-669556</v>
      </c>
      <c r="G210">
        <v>261923</v>
      </c>
      <c r="H210">
        <v>719152</v>
      </c>
      <c r="I210">
        <v>16468979</v>
      </c>
      <c r="J210">
        <v>55344259</v>
      </c>
      <c r="K210">
        <v>3.07187771218757</v>
      </c>
      <c r="L210">
        <v>19.004474740999601</v>
      </c>
      <c r="M210">
        <v>27.341668248477099</v>
      </c>
      <c r="N210" s="2">
        <f t="shared" si="55"/>
        <v>1.3549914950489061</v>
      </c>
      <c r="P210" s="2">
        <f t="shared" si="50"/>
        <v>18.382454325923817</v>
      </c>
      <c r="Q210" s="2">
        <f t="shared" si="51"/>
        <v>-6.9564621837667952E-3</v>
      </c>
      <c r="R210" s="2">
        <f t="shared" si="52"/>
        <v>5.2931932663878072E-2</v>
      </c>
      <c r="S210" s="2">
        <f t="shared" si="53"/>
        <v>0.36421090395354527</v>
      </c>
      <c r="T210" s="2">
        <v>5.0499999999999996E-2</v>
      </c>
      <c r="U210" s="2">
        <v>3.2500000000000001E-2</v>
      </c>
      <c r="V210" s="3">
        <f t="shared" si="56"/>
        <v>0.29757339419794199</v>
      </c>
      <c r="W210">
        <v>68</v>
      </c>
      <c r="X210">
        <f t="shared" si="54"/>
        <v>4.219507705176107</v>
      </c>
    </row>
    <row r="211" spans="1:24" x14ac:dyDescent="0.45">
      <c r="A211" t="s">
        <v>16</v>
      </c>
      <c r="B211">
        <v>14</v>
      </c>
      <c r="C211">
        <v>2024</v>
      </c>
      <c r="D211">
        <v>118498716</v>
      </c>
      <c r="E211">
        <v>6092846</v>
      </c>
      <c r="F211">
        <v>-5128938</v>
      </c>
      <c r="G211">
        <v>0</v>
      </c>
      <c r="H211">
        <v>1472498</v>
      </c>
      <c r="I211">
        <v>13907314</v>
      </c>
      <c r="J211">
        <v>71174720</v>
      </c>
      <c r="K211">
        <v>3.0966938195511502</v>
      </c>
      <c r="L211">
        <v>27.889422983664101</v>
      </c>
      <c r="M211">
        <v>27.243425052219401</v>
      </c>
      <c r="N211" s="2">
        <f t="shared" si="55"/>
        <v>-0.37702277948106938</v>
      </c>
      <c r="P211" s="2">
        <f t="shared" si="50"/>
        <v>18.590412683037719</v>
      </c>
      <c r="Q211" s="2">
        <f t="shared" si="51"/>
        <v>-4.3282646201837326E-2</v>
      </c>
      <c r="R211" s="2">
        <f t="shared" si="52"/>
        <v>5.1416979066676131E-2</v>
      </c>
      <c r="S211" s="2">
        <f t="shared" si="53"/>
        <v>0</v>
      </c>
      <c r="T211" s="2">
        <v>7.0900000000000005E-2</v>
      </c>
      <c r="U211" s="2">
        <v>3.6299999999999999E-2</v>
      </c>
      <c r="V211" s="3">
        <f t="shared" si="56"/>
        <v>0.19539682066891165</v>
      </c>
      <c r="W211">
        <v>89</v>
      </c>
      <c r="X211">
        <f t="shared" si="54"/>
        <v>4.4886363697321396</v>
      </c>
    </row>
    <row r="212" spans="1:24" x14ac:dyDescent="0.45">
      <c r="A212" t="s">
        <v>17</v>
      </c>
      <c r="B212">
        <v>15</v>
      </c>
      <c r="C212">
        <v>2010</v>
      </c>
      <c r="D212">
        <v>19689657</v>
      </c>
      <c r="E212">
        <v>3139837</v>
      </c>
      <c r="F212">
        <v>304486</v>
      </c>
      <c r="G212">
        <v>73591</v>
      </c>
      <c r="H212">
        <v>702172</v>
      </c>
      <c r="J212">
        <v>11584528</v>
      </c>
      <c r="K212">
        <v>3.2718982631890698</v>
      </c>
      <c r="L212">
        <v>9.7075901186610398</v>
      </c>
      <c r="M212">
        <v>17.334389639963199</v>
      </c>
      <c r="N212" s="2">
        <f t="shared" ref="N212:N225" si="57">LN((Q212+R212)/(_xlfn.STDEV.S($Q$212:$Q$226)))</f>
        <v>3.251264940363257</v>
      </c>
      <c r="P212" s="2">
        <f t="shared" si="50"/>
        <v>16.795604030453422</v>
      </c>
      <c r="Q212" s="2">
        <f t="shared" si="51"/>
        <v>1.5464261261635996E-2</v>
      </c>
      <c r="R212" s="2">
        <f t="shared" si="52"/>
        <v>0.15946631269402001</v>
      </c>
      <c r="S212" s="2">
        <f t="shared" si="53"/>
        <v>0.10480480566015164</v>
      </c>
      <c r="T212" s="2">
        <v>6.4232448223948205E-2</v>
      </c>
      <c r="U212" s="2">
        <v>9.20746648778413E-2</v>
      </c>
      <c r="W212">
        <v>5</v>
      </c>
      <c r="X212">
        <f t="shared" si="54"/>
        <v>1.6094379124341003</v>
      </c>
    </row>
    <row r="213" spans="1:24" x14ac:dyDescent="0.45">
      <c r="A213" t="s">
        <v>17</v>
      </c>
      <c r="B213">
        <v>15</v>
      </c>
      <c r="C213">
        <v>2011</v>
      </c>
      <c r="D213">
        <v>25429493</v>
      </c>
      <c r="E213">
        <v>3751686</v>
      </c>
      <c r="F213">
        <v>302720</v>
      </c>
      <c r="G213">
        <v>3074</v>
      </c>
      <c r="H213">
        <v>901463</v>
      </c>
      <c r="J213">
        <v>13845764</v>
      </c>
      <c r="K213">
        <v>3.59352181546691</v>
      </c>
      <c r="L213">
        <v>10.9472107468528</v>
      </c>
      <c r="M213">
        <v>19.912794817213701</v>
      </c>
      <c r="N213" s="2">
        <f t="shared" si="57"/>
        <v>3.1585255932537826</v>
      </c>
      <c r="P213" s="2">
        <f t="shared" si="50"/>
        <v>17.05142020011737</v>
      </c>
      <c r="Q213" s="2">
        <f t="shared" si="51"/>
        <v>1.1904287671012552E-2</v>
      </c>
      <c r="R213" s="2">
        <f t="shared" si="52"/>
        <v>0.14753286665998414</v>
      </c>
      <c r="S213" s="2">
        <f t="shared" si="53"/>
        <v>3.4100123909689027E-3</v>
      </c>
      <c r="T213" s="2">
        <v>6.4131688968168274E-2</v>
      </c>
      <c r="U213" s="2">
        <v>0.18677732277070699</v>
      </c>
      <c r="W213">
        <v>8</v>
      </c>
      <c r="X213">
        <f t="shared" si="54"/>
        <v>2.0794415416798357</v>
      </c>
    </row>
    <row r="214" spans="1:24" x14ac:dyDescent="0.45">
      <c r="A214" t="s">
        <v>17</v>
      </c>
      <c r="B214">
        <v>15</v>
      </c>
      <c r="C214">
        <v>2012</v>
      </c>
      <c r="D214">
        <v>27424138</v>
      </c>
      <c r="E214">
        <v>3819577</v>
      </c>
      <c r="F214">
        <v>229895</v>
      </c>
      <c r="G214">
        <v>0</v>
      </c>
      <c r="H214">
        <v>1066442</v>
      </c>
      <c r="J214">
        <v>17238801</v>
      </c>
      <c r="K214">
        <v>3.1504539182237998</v>
      </c>
      <c r="L214">
        <v>12.0614890394782</v>
      </c>
      <c r="M214">
        <v>20.9770541106558</v>
      </c>
      <c r="N214" s="2">
        <f t="shared" si="57"/>
        <v>3.0817939721473051</v>
      </c>
      <c r="O214" s="2">
        <v>0.48809999999999998</v>
      </c>
      <c r="P214" s="2">
        <f t="shared" si="50"/>
        <v>17.126934132455663</v>
      </c>
      <c r="Q214" s="2">
        <f t="shared" si="51"/>
        <v>8.3829435222357758E-3</v>
      </c>
      <c r="R214" s="2">
        <f t="shared" si="52"/>
        <v>0.13927792370356362</v>
      </c>
      <c r="S214" s="2">
        <f t="shared" si="53"/>
        <v>0</v>
      </c>
      <c r="T214" s="2">
        <v>5.5045447041188994E-2</v>
      </c>
      <c r="U214" s="2">
        <v>9.0947033955719195E-2</v>
      </c>
      <c r="W214">
        <v>8</v>
      </c>
      <c r="X214">
        <f t="shared" si="54"/>
        <v>2.0794415416798357</v>
      </c>
    </row>
    <row r="215" spans="1:24" x14ac:dyDescent="0.45">
      <c r="A215" t="s">
        <v>17</v>
      </c>
      <c r="B215">
        <v>15</v>
      </c>
      <c r="C215">
        <v>2013</v>
      </c>
      <c r="D215">
        <v>32795208</v>
      </c>
      <c r="E215">
        <v>3964777</v>
      </c>
      <c r="F215">
        <v>241413</v>
      </c>
      <c r="G215">
        <v>0</v>
      </c>
      <c r="H215">
        <v>1229439</v>
      </c>
      <c r="J215">
        <v>20178954</v>
      </c>
      <c r="K215">
        <v>3.6926464082046402</v>
      </c>
      <c r="L215">
        <v>12.840142796842899</v>
      </c>
      <c r="M215">
        <v>22.1573299611807</v>
      </c>
      <c r="N215" s="2">
        <f t="shared" si="57"/>
        <v>2.9409058870555311</v>
      </c>
      <c r="P215" s="2">
        <f t="shared" si="50"/>
        <v>17.305792965120109</v>
      </c>
      <c r="Q215" s="2">
        <f t="shared" si="51"/>
        <v>7.3612278964658492E-3</v>
      </c>
      <c r="R215" s="2">
        <f t="shared" si="52"/>
        <v>0.12089501002707469</v>
      </c>
      <c r="S215" s="2">
        <f t="shared" si="53"/>
        <v>0</v>
      </c>
      <c r="T215" s="2">
        <v>5.5535108102607179E-2</v>
      </c>
      <c r="U215" s="2">
        <v>6.5926747589919191E-2</v>
      </c>
      <c r="W215">
        <v>2</v>
      </c>
      <c r="X215">
        <f t="shared" si="54"/>
        <v>0.69314718055994529</v>
      </c>
    </row>
    <row r="216" spans="1:24" x14ac:dyDescent="0.45">
      <c r="A216" t="s">
        <v>17</v>
      </c>
      <c r="B216">
        <v>15</v>
      </c>
      <c r="C216">
        <v>2014</v>
      </c>
      <c r="D216">
        <v>39094911</v>
      </c>
      <c r="E216">
        <v>4017719</v>
      </c>
      <c r="F216">
        <v>220549</v>
      </c>
      <c r="G216">
        <v>161271</v>
      </c>
      <c r="H216">
        <v>1236541</v>
      </c>
      <c r="J216">
        <v>21463872</v>
      </c>
      <c r="K216">
        <v>3.8792484082456702</v>
      </c>
      <c r="L216">
        <v>14.6258764318214</v>
      </c>
      <c r="M216">
        <v>22.979955992336901</v>
      </c>
      <c r="N216" s="2">
        <f t="shared" si="57"/>
        <v>2.7727934345444636</v>
      </c>
      <c r="O216" s="2">
        <v>0.51680000000000004</v>
      </c>
      <c r="P216" s="2">
        <f t="shared" si="50"/>
        <v>17.481502863032212</v>
      </c>
      <c r="Q216" s="2">
        <f t="shared" si="51"/>
        <v>5.6413736304451491E-3</v>
      </c>
      <c r="R216" s="2">
        <f t="shared" si="52"/>
        <v>0.10276833729075377</v>
      </c>
      <c r="S216" s="2">
        <f t="shared" si="53"/>
        <v>0.13042106974212744</v>
      </c>
      <c r="T216" s="2">
        <v>6.4222431211856723E-2</v>
      </c>
      <c r="U216" s="2">
        <v>4.0845544663761703E-2</v>
      </c>
      <c r="W216">
        <v>3</v>
      </c>
      <c r="X216">
        <f t="shared" si="54"/>
        <v>1.0986122886681098</v>
      </c>
    </row>
    <row r="217" spans="1:24" x14ac:dyDescent="0.45">
      <c r="A217" t="s">
        <v>17</v>
      </c>
      <c r="B217">
        <v>15</v>
      </c>
      <c r="C217">
        <v>2015</v>
      </c>
      <c r="D217">
        <v>49447189</v>
      </c>
      <c r="E217">
        <v>4225319</v>
      </c>
      <c r="F217">
        <v>209474</v>
      </c>
      <c r="G217">
        <v>97059</v>
      </c>
      <c r="H217">
        <v>1428114</v>
      </c>
      <c r="J217">
        <v>27693971</v>
      </c>
      <c r="K217">
        <v>3.7957611751290998</v>
      </c>
      <c r="L217">
        <v>15.8219673058815</v>
      </c>
      <c r="M217">
        <v>24.006275960852001</v>
      </c>
      <c r="N217" s="2">
        <f t="shared" si="57"/>
        <v>2.5832067737245192</v>
      </c>
      <c r="P217" s="2">
        <f t="shared" si="50"/>
        <v>17.71641576911896</v>
      </c>
      <c r="Q217" s="2">
        <f t="shared" si="51"/>
        <v>4.2363176600392792E-3</v>
      </c>
      <c r="R217" s="2">
        <f t="shared" si="52"/>
        <v>8.5451146676912212E-2</v>
      </c>
      <c r="S217" s="2">
        <f t="shared" si="53"/>
        <v>6.7963061772379513E-2</v>
      </c>
      <c r="T217" s="2">
        <v>6.9871543059861096E-2</v>
      </c>
      <c r="U217" s="2">
        <v>6.3120090517575396E-3</v>
      </c>
      <c r="W217">
        <v>9</v>
      </c>
      <c r="X217">
        <f t="shared" si="54"/>
        <v>2.1972245773362196</v>
      </c>
    </row>
    <row r="218" spans="1:24" x14ac:dyDescent="0.45">
      <c r="A218" t="s">
        <v>17</v>
      </c>
      <c r="B218">
        <v>15</v>
      </c>
      <c r="C218">
        <v>2016</v>
      </c>
      <c r="D218">
        <v>63815088</v>
      </c>
      <c r="E218">
        <v>4715678</v>
      </c>
      <c r="F218">
        <v>386916</v>
      </c>
      <c r="G218">
        <v>199004</v>
      </c>
      <c r="H218">
        <v>1859684</v>
      </c>
      <c r="I218">
        <v>675499</v>
      </c>
      <c r="J218">
        <v>38506723</v>
      </c>
      <c r="K218">
        <v>3.8729071718276198</v>
      </c>
      <c r="L218">
        <v>18.127194558590599</v>
      </c>
      <c r="M218">
        <v>24.4994330579914</v>
      </c>
      <c r="N218" s="2">
        <f t="shared" si="57"/>
        <v>2.4683904308439009</v>
      </c>
      <c r="O218" s="2">
        <v>0.49830000000000002</v>
      </c>
      <c r="P218" s="2">
        <f t="shared" si="50"/>
        <v>17.971500209384111</v>
      </c>
      <c r="Q218" s="2">
        <f t="shared" si="51"/>
        <v>6.0630802546256775E-3</v>
      </c>
      <c r="R218" s="2">
        <f t="shared" si="52"/>
        <v>7.3895972689091954E-2</v>
      </c>
      <c r="S218" s="2">
        <f t="shared" si="53"/>
        <v>0.10700957797131125</v>
      </c>
      <c r="T218" s="2">
        <v>6.6900089266042351E-2</v>
      </c>
      <c r="U218" s="2">
        <v>2.6682481696908199E-2</v>
      </c>
      <c r="V218" s="3">
        <f t="shared" ref="V218:V225" si="58">I218/J218</f>
        <v>1.7542365264372146E-2</v>
      </c>
      <c r="W218">
        <v>15</v>
      </c>
      <c r="X218">
        <f t="shared" si="54"/>
        <v>2.7080502011022101</v>
      </c>
    </row>
    <row r="219" spans="1:24" x14ac:dyDescent="0.45">
      <c r="A219" t="s">
        <v>17</v>
      </c>
      <c r="B219">
        <v>15</v>
      </c>
      <c r="C219">
        <v>2017</v>
      </c>
      <c r="D219">
        <v>84300169</v>
      </c>
      <c r="E219">
        <v>6139396</v>
      </c>
      <c r="F219">
        <v>816766</v>
      </c>
      <c r="G219">
        <v>322671</v>
      </c>
      <c r="H219">
        <v>2723815</v>
      </c>
      <c r="I219">
        <v>864574</v>
      </c>
      <c r="J219">
        <v>48182977</v>
      </c>
      <c r="K219">
        <v>3.4878659520670099</v>
      </c>
      <c r="L219">
        <v>19.9794949903735</v>
      </c>
      <c r="M219">
        <v>24.408110955118602</v>
      </c>
      <c r="N219" s="2">
        <f t="shared" si="57"/>
        <v>2.499875060106354</v>
      </c>
      <c r="O219" s="2">
        <v>0.36759999999999998</v>
      </c>
      <c r="P219" s="2">
        <f t="shared" si="50"/>
        <v>18.249894427715034</v>
      </c>
      <c r="Q219" s="2">
        <f t="shared" si="51"/>
        <v>9.6887824744455731E-3</v>
      </c>
      <c r="R219" s="2">
        <f t="shared" si="52"/>
        <v>7.2827801804288203E-2</v>
      </c>
      <c r="S219" s="2">
        <f t="shared" si="53"/>
        <v>0.11846289120222922</v>
      </c>
      <c r="T219" s="2">
        <v>6.9401903735920603E-2</v>
      </c>
      <c r="U219" s="2">
        <v>3.5202568881161703E-2</v>
      </c>
      <c r="V219" s="3">
        <f t="shared" si="58"/>
        <v>1.794355711976867E-2</v>
      </c>
      <c r="W219">
        <v>36</v>
      </c>
      <c r="X219">
        <f t="shared" si="54"/>
        <v>3.5835189384561099</v>
      </c>
    </row>
    <row r="220" spans="1:24" x14ac:dyDescent="0.45">
      <c r="A220" t="s">
        <v>17</v>
      </c>
      <c r="B220">
        <v>15</v>
      </c>
      <c r="C220">
        <v>2018</v>
      </c>
      <c r="D220">
        <v>99964108</v>
      </c>
      <c r="E220">
        <v>8797238</v>
      </c>
      <c r="F220">
        <v>1761031</v>
      </c>
      <c r="G220">
        <v>1580130</v>
      </c>
      <c r="H220">
        <v>5016100</v>
      </c>
      <c r="I220">
        <v>1288328</v>
      </c>
      <c r="J220">
        <v>56316352</v>
      </c>
      <c r="K220">
        <v>3.9598095587873798</v>
      </c>
      <c r="L220">
        <v>20.511087535654799</v>
      </c>
      <c r="M220">
        <v>25.6092485278987</v>
      </c>
      <c r="N220" s="2">
        <f t="shared" si="57"/>
        <v>2.7467291872158253</v>
      </c>
      <c r="O220" s="2">
        <v>0.25269999999999998</v>
      </c>
      <c r="P220" s="2">
        <f t="shared" si="50"/>
        <v>18.420321759525166</v>
      </c>
      <c r="Q220" s="2">
        <f t="shared" si="51"/>
        <v>1.7616632961902686E-2</v>
      </c>
      <c r="R220" s="2">
        <f t="shared" si="52"/>
        <v>8.8003966383614407E-2</v>
      </c>
      <c r="S220" s="2">
        <f t="shared" si="53"/>
        <v>0.31501166244692091</v>
      </c>
      <c r="T220" s="2">
        <v>7.4650068557275087E-2</v>
      </c>
      <c r="U220" s="2">
        <v>3.5396280594264098E-2</v>
      </c>
      <c r="V220" s="3">
        <f t="shared" si="58"/>
        <v>2.2876623826770599E-2</v>
      </c>
      <c r="W220">
        <v>27</v>
      </c>
      <c r="X220">
        <f t="shared" si="54"/>
        <v>3.2958368660043291</v>
      </c>
    </row>
    <row r="221" spans="1:24" x14ac:dyDescent="0.45">
      <c r="A221" t="s">
        <v>17</v>
      </c>
      <c r="B221">
        <v>15</v>
      </c>
      <c r="C221">
        <v>2019</v>
      </c>
      <c r="D221">
        <v>118159971</v>
      </c>
      <c r="E221">
        <v>11507151</v>
      </c>
      <c r="F221">
        <v>2582236</v>
      </c>
      <c r="G221">
        <v>2511991</v>
      </c>
      <c r="H221">
        <v>6613154</v>
      </c>
      <c r="I221">
        <v>1309237</v>
      </c>
      <c r="J221">
        <v>71090741</v>
      </c>
      <c r="K221">
        <v>4.0230286341449499</v>
      </c>
      <c r="L221">
        <v>21.918245362198</v>
      </c>
      <c r="M221">
        <v>26.1660509841828</v>
      </c>
      <c r="N221" s="2">
        <f t="shared" si="57"/>
        <v>2.8680134705279308</v>
      </c>
      <c r="O221" s="2">
        <v>0.26540000000000002</v>
      </c>
      <c r="P221" s="2">
        <f t="shared" si="50"/>
        <v>18.587549950757442</v>
      </c>
      <c r="Q221" s="2">
        <f t="shared" si="51"/>
        <v>2.1853729127946385E-2</v>
      </c>
      <c r="R221" s="2">
        <f t="shared" si="52"/>
        <v>9.73862036577514E-2</v>
      </c>
      <c r="S221" s="2">
        <f t="shared" si="53"/>
        <v>0.37984764909451679</v>
      </c>
      <c r="T221" s="2">
        <v>7.3592627010500566E-2</v>
      </c>
      <c r="U221" s="2">
        <v>2.7958236745225001E-2</v>
      </c>
      <c r="V221" s="3">
        <f t="shared" si="58"/>
        <v>1.8416420782560138E-2</v>
      </c>
      <c r="W221">
        <v>46</v>
      </c>
      <c r="X221">
        <f t="shared" si="54"/>
        <v>3.8286413964890951</v>
      </c>
    </row>
    <row r="222" spans="1:24" x14ac:dyDescent="0.45">
      <c r="A222" t="s">
        <v>17</v>
      </c>
      <c r="B222">
        <v>15</v>
      </c>
      <c r="C222">
        <v>2020</v>
      </c>
      <c r="D222">
        <v>152528879</v>
      </c>
      <c r="E222">
        <v>17435383</v>
      </c>
      <c r="F222">
        <v>3534772</v>
      </c>
      <c r="G222">
        <v>3031156</v>
      </c>
      <c r="H222">
        <v>8012867</v>
      </c>
      <c r="I222">
        <v>1508469</v>
      </c>
      <c r="J222">
        <v>89237886</v>
      </c>
      <c r="K222">
        <v>4.0399838659549498</v>
      </c>
      <c r="L222">
        <v>23.747196863397502</v>
      </c>
      <c r="M222">
        <v>26.4783455246633</v>
      </c>
      <c r="N222" s="2">
        <f t="shared" si="57"/>
        <v>3.0103773321768266</v>
      </c>
      <c r="O222" s="2">
        <v>0.55189999999999995</v>
      </c>
      <c r="P222" s="2">
        <f t="shared" si="50"/>
        <v>18.842864506575214</v>
      </c>
      <c r="Q222" s="2">
        <f t="shared" si="51"/>
        <v>2.3174444230983957E-2</v>
      </c>
      <c r="R222" s="2">
        <f t="shared" si="52"/>
        <v>0.11430873362676454</v>
      </c>
      <c r="S222" s="2">
        <f t="shared" si="53"/>
        <v>0.3782860741355123</v>
      </c>
      <c r="T222" s="2">
        <v>2.8654132091227212E-2</v>
      </c>
      <c r="U222" s="2">
        <v>3.2209343665251404E-2</v>
      </c>
      <c r="V222" s="3">
        <f t="shared" si="58"/>
        <v>1.690390783125454E-2</v>
      </c>
      <c r="W222">
        <v>21</v>
      </c>
      <c r="X222">
        <f t="shared" si="54"/>
        <v>3.044522437723423</v>
      </c>
    </row>
    <row r="223" spans="1:24" x14ac:dyDescent="0.45">
      <c r="A223" t="s">
        <v>17</v>
      </c>
      <c r="B223">
        <v>15</v>
      </c>
      <c r="C223">
        <v>2021</v>
      </c>
      <c r="D223">
        <v>184491035</v>
      </c>
      <c r="E223">
        <v>21805009</v>
      </c>
      <c r="F223">
        <v>4404959</v>
      </c>
      <c r="G223">
        <v>3153568</v>
      </c>
      <c r="H223">
        <v>8919153</v>
      </c>
      <c r="I223">
        <v>1349540</v>
      </c>
      <c r="J223">
        <v>102050733</v>
      </c>
      <c r="K223">
        <v>2.9295233226858799</v>
      </c>
      <c r="L223">
        <v>25.554737309897</v>
      </c>
      <c r="M223">
        <v>27.207097804316199</v>
      </c>
      <c r="N223" s="2">
        <f t="shared" si="57"/>
        <v>3.0431699693019887</v>
      </c>
      <c r="P223" s="2">
        <f t="shared" si="50"/>
        <v>19.033111429478378</v>
      </c>
      <c r="Q223" s="2">
        <f t="shared" si="51"/>
        <v>2.387627669821463E-2</v>
      </c>
      <c r="R223" s="2">
        <f t="shared" si="52"/>
        <v>0.1181900735718676</v>
      </c>
      <c r="S223" s="2">
        <f t="shared" si="53"/>
        <v>0.35357258699340621</v>
      </c>
      <c r="T223" s="2">
        <v>2.5615641067098523E-2</v>
      </c>
      <c r="U223" s="2">
        <v>1.8347155481044399E-2</v>
      </c>
      <c r="V223" s="3">
        <f t="shared" si="58"/>
        <v>1.3224206826618286E-2</v>
      </c>
      <c r="W223">
        <v>48</v>
      </c>
      <c r="X223">
        <f t="shared" si="54"/>
        <v>3.8712010109078911</v>
      </c>
    </row>
    <row r="224" spans="1:24" x14ac:dyDescent="0.45">
      <c r="A224" t="s">
        <v>17</v>
      </c>
      <c r="B224">
        <v>15</v>
      </c>
      <c r="C224">
        <v>2022</v>
      </c>
      <c r="D224">
        <v>193994238</v>
      </c>
      <c r="E224">
        <v>25272240</v>
      </c>
      <c r="F224">
        <v>3509718</v>
      </c>
      <c r="G224">
        <v>1585988</v>
      </c>
      <c r="H224">
        <v>8533571</v>
      </c>
      <c r="I224">
        <v>2670982</v>
      </c>
      <c r="J224">
        <v>119802570</v>
      </c>
      <c r="K224">
        <v>3.0268176838110499</v>
      </c>
      <c r="L224">
        <v>19.886983507523201</v>
      </c>
      <c r="M224">
        <v>27.746488205671799</v>
      </c>
      <c r="N224" s="2">
        <f t="shared" si="57"/>
        <v>3.0865513192998124</v>
      </c>
      <c r="O224" s="2">
        <v>0.60570000000000002</v>
      </c>
      <c r="P224" s="2">
        <f t="shared" si="50"/>
        <v>19.083339015555591</v>
      </c>
      <c r="Q224" s="2">
        <f t="shared" si="51"/>
        <v>1.8091867244015774E-2</v>
      </c>
      <c r="R224" s="2">
        <f t="shared" si="52"/>
        <v>0.13027314759730133</v>
      </c>
      <c r="S224" s="2">
        <f t="shared" si="53"/>
        <v>0.18585279245933503</v>
      </c>
      <c r="T224" s="2">
        <v>8.0197923744283764E-2</v>
      </c>
      <c r="U224" s="2">
        <v>3.1565074996312899E-2</v>
      </c>
      <c r="V224" s="3">
        <f t="shared" si="58"/>
        <v>2.2294863958260663E-2</v>
      </c>
      <c r="W224">
        <v>50</v>
      </c>
      <c r="X224">
        <f t="shared" si="54"/>
        <v>3.912023005428146</v>
      </c>
    </row>
    <row r="225" spans="1:24" x14ac:dyDescent="0.45">
      <c r="A225" t="s">
        <v>17</v>
      </c>
      <c r="B225">
        <v>15</v>
      </c>
      <c r="C225">
        <v>2023</v>
      </c>
      <c r="D225">
        <v>240114275</v>
      </c>
      <c r="E225">
        <v>28535704</v>
      </c>
      <c r="F225">
        <v>3303303</v>
      </c>
      <c r="G225">
        <v>2172608</v>
      </c>
      <c r="H225">
        <v>8938127</v>
      </c>
      <c r="I225">
        <v>6883199</v>
      </c>
      <c r="J225">
        <v>147206466</v>
      </c>
      <c r="K225">
        <v>3.07187771218757</v>
      </c>
      <c r="L225">
        <v>19.004474740999601</v>
      </c>
      <c r="M225">
        <v>27.341668248477099</v>
      </c>
      <c r="N225" s="2">
        <f t="shared" si="57"/>
        <v>2.9742082618396277</v>
      </c>
      <c r="P225" s="2">
        <f t="shared" si="50"/>
        <v>19.296625513818142</v>
      </c>
      <c r="Q225" s="2">
        <f t="shared" si="51"/>
        <v>1.3757212060798968E-2</v>
      </c>
      <c r="R225" s="2">
        <f t="shared" si="52"/>
        <v>0.11884218045761752</v>
      </c>
      <c r="S225" s="2">
        <f t="shared" si="53"/>
        <v>0.24307195456050243</v>
      </c>
      <c r="T225" s="2">
        <v>5.0499999999999996E-2</v>
      </c>
      <c r="U225" s="2">
        <v>3.2500000000000001E-2</v>
      </c>
      <c r="V225" s="3">
        <f t="shared" si="58"/>
        <v>4.6758808814824748E-2</v>
      </c>
      <c r="W225">
        <v>56</v>
      </c>
      <c r="X225">
        <f t="shared" si="54"/>
        <v>4.0253516907351496</v>
      </c>
    </row>
    <row r="226" spans="1:24" x14ac:dyDescent="0.45">
      <c r="A226" t="s">
        <v>17</v>
      </c>
      <c r="B226">
        <v>15</v>
      </c>
      <c r="C226">
        <v>2024</v>
      </c>
      <c r="K226">
        <v>3.0966938195511502</v>
      </c>
      <c r="L226">
        <v>27.889422983664101</v>
      </c>
      <c r="M226">
        <v>27.243425052219401</v>
      </c>
      <c r="T226" s="2">
        <v>7.0900000000000005E-2</v>
      </c>
      <c r="U226" s="2">
        <v>3.6299999999999999E-2</v>
      </c>
      <c r="W226">
        <v>76</v>
      </c>
      <c r="X226">
        <f t="shared" si="54"/>
        <v>4.3307333402863311</v>
      </c>
    </row>
    <row r="227" spans="1:24" x14ac:dyDescent="0.45">
      <c r="A227" t="s">
        <v>18</v>
      </c>
      <c r="B227">
        <v>16</v>
      </c>
      <c r="C227">
        <v>2010</v>
      </c>
      <c r="D227">
        <v>16378325</v>
      </c>
      <c r="E227">
        <v>2173413</v>
      </c>
      <c r="F227">
        <v>218811</v>
      </c>
      <c r="G227">
        <v>147514</v>
      </c>
      <c r="H227">
        <v>664315</v>
      </c>
      <c r="I227">
        <v>154373</v>
      </c>
      <c r="J227">
        <v>10886497</v>
      </c>
      <c r="K227">
        <v>3.2718982631890698</v>
      </c>
      <c r="L227">
        <v>9.7075901186610398</v>
      </c>
      <c r="M227">
        <v>17.334389639963199</v>
      </c>
      <c r="N227" s="2">
        <f t="shared" ref="N227:N241" si="59">LN((Q227+R227)/(_xlfn.STDEV.S($Q$227:$Q$241)))</f>
        <v>3.1552154438130362</v>
      </c>
      <c r="O227" s="2">
        <v>0.75780000000000003</v>
      </c>
      <c r="P227" s="2">
        <f t="shared" ref="P227:P258" si="60">LN(D227)</f>
        <v>16.611469372308147</v>
      </c>
      <c r="Q227" s="2">
        <f t="shared" ref="Q227:Q258" si="61">F227/D227</f>
        <v>1.3359791065325666E-2</v>
      </c>
      <c r="R227" s="2">
        <f t="shared" ref="R227:R258" si="62">E227/D227</f>
        <v>0.13270056614458439</v>
      </c>
      <c r="S227" s="2">
        <f t="shared" ref="S227:S258" si="63">G227/H227</f>
        <v>0.22205429653101316</v>
      </c>
      <c r="T227" s="2">
        <v>6.4232448223948205E-2</v>
      </c>
      <c r="U227" s="2">
        <v>9.20746648778413E-2</v>
      </c>
      <c r="V227" s="3">
        <f>I227/J227</f>
        <v>1.4180227119889897E-2</v>
      </c>
      <c r="W227">
        <v>9</v>
      </c>
      <c r="X227">
        <f t="shared" si="54"/>
        <v>2.1972245773362196</v>
      </c>
    </row>
    <row r="228" spans="1:24" x14ac:dyDescent="0.45">
      <c r="A228" t="s">
        <v>18</v>
      </c>
      <c r="B228">
        <v>16</v>
      </c>
      <c r="C228">
        <v>2011</v>
      </c>
      <c r="D228">
        <v>17582081</v>
      </c>
      <c r="E228">
        <v>2590976</v>
      </c>
      <c r="F228">
        <v>446255</v>
      </c>
      <c r="G228">
        <v>73446</v>
      </c>
      <c r="H228">
        <v>1169807</v>
      </c>
      <c r="J228">
        <v>12112037</v>
      </c>
      <c r="K228">
        <v>3.59352181546691</v>
      </c>
      <c r="L228">
        <v>10.9472107468528</v>
      </c>
      <c r="M228">
        <v>19.912794817213701</v>
      </c>
      <c r="N228" s="2">
        <f t="shared" si="59"/>
        <v>3.3230167676394924</v>
      </c>
      <c r="P228" s="2">
        <f t="shared" si="60"/>
        <v>16.682390816367064</v>
      </c>
      <c r="Q228" s="2">
        <f t="shared" si="61"/>
        <v>2.5381239001230856E-2</v>
      </c>
      <c r="R228" s="2">
        <f t="shared" si="62"/>
        <v>0.14736458101859501</v>
      </c>
      <c r="S228" s="2">
        <f t="shared" si="63"/>
        <v>6.2784715769353405E-2</v>
      </c>
      <c r="T228" s="2">
        <v>6.4131688968168274E-2</v>
      </c>
      <c r="U228" s="2">
        <v>0.18677732277070699</v>
      </c>
      <c r="W228">
        <v>1</v>
      </c>
      <c r="X228">
        <f t="shared" si="54"/>
        <v>0</v>
      </c>
    </row>
    <row r="229" spans="1:24" x14ac:dyDescent="0.45">
      <c r="A229" t="s">
        <v>18</v>
      </c>
      <c r="B229">
        <v>16</v>
      </c>
      <c r="C229">
        <v>2012</v>
      </c>
      <c r="D229">
        <v>19250898</v>
      </c>
      <c r="E229">
        <v>3194033</v>
      </c>
      <c r="F229">
        <v>239985</v>
      </c>
      <c r="G229">
        <v>178012</v>
      </c>
      <c r="H229">
        <v>1158733</v>
      </c>
      <c r="I229">
        <v>1163275</v>
      </c>
      <c r="J229">
        <v>13787373</v>
      </c>
      <c r="K229">
        <v>3.1504539182237998</v>
      </c>
      <c r="L229">
        <v>12.0614890394782</v>
      </c>
      <c r="M229">
        <v>20.9770541106558</v>
      </c>
      <c r="N229" s="2">
        <f t="shared" si="59"/>
        <v>3.3551240761338286</v>
      </c>
      <c r="P229" s="2">
        <f t="shared" si="60"/>
        <v>16.773068266960671</v>
      </c>
      <c r="Q229" s="2">
        <f t="shared" si="61"/>
        <v>1.2466171707937988E-2</v>
      </c>
      <c r="R229" s="2">
        <f t="shared" si="62"/>
        <v>0.16591605233168863</v>
      </c>
      <c r="S229" s="2">
        <f t="shared" si="63"/>
        <v>0.15362641782015357</v>
      </c>
      <c r="T229" s="2">
        <v>5.5045447041188994E-2</v>
      </c>
      <c r="U229" s="2">
        <v>9.0947033955719195E-2</v>
      </c>
      <c r="V229" s="3">
        <f t="shared" ref="V229:V241" si="64">I229/J229</f>
        <v>8.4372490684048368E-2</v>
      </c>
      <c r="W229">
        <v>9</v>
      </c>
      <c r="X229">
        <f t="shared" si="54"/>
        <v>2.1972245773362196</v>
      </c>
    </row>
    <row r="230" spans="1:24" x14ac:dyDescent="0.45">
      <c r="A230" t="s">
        <v>18</v>
      </c>
      <c r="B230">
        <v>16</v>
      </c>
      <c r="C230">
        <v>2013</v>
      </c>
      <c r="D230">
        <v>24875747</v>
      </c>
      <c r="E230">
        <v>3209636</v>
      </c>
      <c r="F230">
        <v>38202</v>
      </c>
      <c r="G230">
        <v>166226</v>
      </c>
      <c r="H230">
        <v>708372</v>
      </c>
      <c r="I230">
        <v>2080652</v>
      </c>
      <c r="J230">
        <v>13866696</v>
      </c>
      <c r="K230">
        <v>3.6926464082046402</v>
      </c>
      <c r="L230">
        <v>12.840142796842899</v>
      </c>
      <c r="M230">
        <v>22.1573299611807</v>
      </c>
      <c r="N230" s="2">
        <f t="shared" si="59"/>
        <v>3.0430470124317726</v>
      </c>
      <c r="P230" s="2">
        <f t="shared" si="60"/>
        <v>17.029403870708787</v>
      </c>
      <c r="Q230" s="2">
        <f t="shared" si="61"/>
        <v>1.5357126762866658E-3</v>
      </c>
      <c r="R230" s="2">
        <f t="shared" si="62"/>
        <v>0.12902671827302312</v>
      </c>
      <c r="S230" s="2">
        <f t="shared" si="63"/>
        <v>0.2346591903689022</v>
      </c>
      <c r="T230" s="2">
        <v>5.5535108102607179E-2</v>
      </c>
      <c r="U230" s="2">
        <v>6.5926747589919191E-2</v>
      </c>
      <c r="V230" s="3">
        <f t="shared" si="64"/>
        <v>0.15004670182428459</v>
      </c>
      <c r="W230">
        <v>5</v>
      </c>
      <c r="X230">
        <f t="shared" si="54"/>
        <v>1.6094379124341003</v>
      </c>
    </row>
    <row r="231" spans="1:24" x14ac:dyDescent="0.45">
      <c r="A231" t="s">
        <v>18</v>
      </c>
      <c r="B231">
        <v>16</v>
      </c>
      <c r="C231">
        <v>2014</v>
      </c>
      <c r="D231">
        <v>25779362</v>
      </c>
      <c r="E231">
        <v>3339471</v>
      </c>
      <c r="F231">
        <v>131050</v>
      </c>
      <c r="G231">
        <v>94291</v>
      </c>
      <c r="H231">
        <v>750840</v>
      </c>
      <c r="I231">
        <v>360439</v>
      </c>
      <c r="J231">
        <v>14507182</v>
      </c>
      <c r="K231">
        <v>3.8792484082456702</v>
      </c>
      <c r="L231">
        <v>14.6258764318214</v>
      </c>
      <c r="M231">
        <v>22.979955992336901</v>
      </c>
      <c r="N231" s="2">
        <f t="shared" si="59"/>
        <v>3.0736812584102835</v>
      </c>
      <c r="P231" s="2">
        <f t="shared" si="60"/>
        <v>17.065084807302519</v>
      </c>
      <c r="Q231" s="2">
        <f t="shared" si="61"/>
        <v>5.0835237893009141E-3</v>
      </c>
      <c r="R231" s="2">
        <f t="shared" si="62"/>
        <v>0.12954048280946595</v>
      </c>
      <c r="S231" s="2">
        <f t="shared" si="63"/>
        <v>0.12558068296840871</v>
      </c>
      <c r="T231" s="2">
        <v>6.4222431211856723E-2</v>
      </c>
      <c r="U231" s="2">
        <v>4.0845544663761703E-2</v>
      </c>
      <c r="V231" s="3">
        <f t="shared" si="64"/>
        <v>2.484555580815075E-2</v>
      </c>
      <c r="W231">
        <v>0</v>
      </c>
      <c r="X231" t="e">
        <f t="shared" si="54"/>
        <v>#NUM!</v>
      </c>
    </row>
    <row r="232" spans="1:24" x14ac:dyDescent="0.45">
      <c r="A232" t="s">
        <v>18</v>
      </c>
      <c r="B232">
        <v>16</v>
      </c>
      <c r="C232">
        <v>2015</v>
      </c>
      <c r="D232">
        <v>24681414</v>
      </c>
      <c r="E232">
        <v>3372713</v>
      </c>
      <c r="F232">
        <v>40808</v>
      </c>
      <c r="G232">
        <v>92295</v>
      </c>
      <c r="H232">
        <v>747562</v>
      </c>
      <c r="I232">
        <v>437391</v>
      </c>
      <c r="J232">
        <v>15882795</v>
      </c>
      <c r="K232">
        <v>3.7957611751290998</v>
      </c>
      <c r="L232">
        <v>15.8219673058815</v>
      </c>
      <c r="M232">
        <v>24.006275960852001</v>
      </c>
      <c r="N232" s="2">
        <f t="shared" si="59"/>
        <v>3.1006446001177403</v>
      </c>
      <c r="P232" s="2">
        <f t="shared" si="60"/>
        <v>17.021561048715203</v>
      </c>
      <c r="Q232" s="2">
        <f t="shared" si="61"/>
        <v>1.6533898746643931E-3</v>
      </c>
      <c r="R232" s="2">
        <f t="shared" si="62"/>
        <v>0.13664990992817511</v>
      </c>
      <c r="S232" s="2">
        <f t="shared" si="63"/>
        <v>0.12346133163536938</v>
      </c>
      <c r="T232" s="2">
        <v>6.9871543059861096E-2</v>
      </c>
      <c r="U232" s="2">
        <v>6.3120090517575396E-3</v>
      </c>
      <c r="V232" s="3">
        <f t="shared" si="64"/>
        <v>2.7538666840439607E-2</v>
      </c>
      <c r="W232">
        <v>0</v>
      </c>
      <c r="X232" t="e">
        <f t="shared" si="54"/>
        <v>#NUM!</v>
      </c>
    </row>
    <row r="233" spans="1:24" x14ac:dyDescent="0.45">
      <c r="A233" t="s">
        <v>18</v>
      </c>
      <c r="B233">
        <v>16</v>
      </c>
      <c r="C233">
        <v>2016</v>
      </c>
      <c r="D233">
        <v>24824533</v>
      </c>
      <c r="E233">
        <v>3495341</v>
      </c>
      <c r="F233">
        <v>122627</v>
      </c>
      <c r="G233">
        <v>80609</v>
      </c>
      <c r="H233">
        <v>775949</v>
      </c>
      <c r="I233">
        <v>432816</v>
      </c>
      <c r="J233">
        <v>17534132</v>
      </c>
      <c r="K233">
        <v>3.8729071718276198</v>
      </c>
      <c r="L233">
        <v>18.127194558590599</v>
      </c>
      <c r="M233">
        <v>24.4994330579914</v>
      </c>
      <c r="N233" s="2">
        <f t="shared" si="59"/>
        <v>3.1530309251639435</v>
      </c>
      <c r="P233" s="2">
        <f t="shared" si="60"/>
        <v>17.027342956036797</v>
      </c>
      <c r="Q233" s="2">
        <f t="shared" si="61"/>
        <v>4.9397505282375298E-3</v>
      </c>
      <c r="R233" s="2">
        <f t="shared" si="62"/>
        <v>0.14080188336272026</v>
      </c>
      <c r="S233" s="2">
        <f t="shared" si="63"/>
        <v>0.10388440477402509</v>
      </c>
      <c r="T233" s="2">
        <v>6.6900089266042351E-2</v>
      </c>
      <c r="U233" s="2">
        <v>2.6682481696908199E-2</v>
      </c>
      <c r="V233" s="3">
        <f t="shared" si="64"/>
        <v>2.4684198795811508E-2</v>
      </c>
      <c r="W233">
        <v>0</v>
      </c>
      <c r="X233" t="e">
        <f t="shared" si="54"/>
        <v>#NUM!</v>
      </c>
    </row>
    <row r="234" spans="1:24" x14ac:dyDescent="0.45">
      <c r="A234" t="s">
        <v>18</v>
      </c>
      <c r="B234">
        <v>16</v>
      </c>
      <c r="C234">
        <v>2017</v>
      </c>
      <c r="D234">
        <v>29297961</v>
      </c>
      <c r="E234">
        <v>3559847</v>
      </c>
      <c r="F234">
        <v>64505</v>
      </c>
      <c r="G234">
        <v>234322</v>
      </c>
      <c r="H234">
        <v>1017935</v>
      </c>
      <c r="I234">
        <v>715179</v>
      </c>
      <c r="J234">
        <v>21421023</v>
      </c>
      <c r="K234">
        <v>3.4878659520670099</v>
      </c>
      <c r="L234">
        <v>19.9794949903735</v>
      </c>
      <c r="M234">
        <v>24.408110955118602</v>
      </c>
      <c r="N234" s="2">
        <f t="shared" si="59"/>
        <v>2.9891083715169509</v>
      </c>
      <c r="O234" s="2">
        <v>0.28449999999999998</v>
      </c>
      <c r="P234" s="2">
        <f t="shared" si="60"/>
        <v>17.193028481122081</v>
      </c>
      <c r="Q234" s="2">
        <f t="shared" si="61"/>
        <v>2.20168905269551E-3</v>
      </c>
      <c r="R234" s="2">
        <f t="shared" si="62"/>
        <v>0.12150494022433848</v>
      </c>
      <c r="S234" s="2">
        <f t="shared" si="63"/>
        <v>0.23019347993732409</v>
      </c>
      <c r="T234" s="2">
        <v>6.9401903735920603E-2</v>
      </c>
      <c r="U234" s="2">
        <v>3.5202568881161703E-2</v>
      </c>
      <c r="V234" s="3">
        <f t="shared" si="64"/>
        <v>3.3386780827414267E-2</v>
      </c>
      <c r="W234">
        <v>0</v>
      </c>
      <c r="X234" t="e">
        <f t="shared" si="54"/>
        <v>#NUM!</v>
      </c>
    </row>
    <row r="235" spans="1:24" x14ac:dyDescent="0.45">
      <c r="A235" t="s">
        <v>18</v>
      </c>
      <c r="B235">
        <v>16</v>
      </c>
      <c r="C235">
        <v>2018</v>
      </c>
      <c r="D235">
        <v>29899608</v>
      </c>
      <c r="E235">
        <v>3686768</v>
      </c>
      <c r="F235">
        <v>126921</v>
      </c>
      <c r="G235">
        <v>349249</v>
      </c>
      <c r="H235">
        <v>1197060</v>
      </c>
      <c r="I235">
        <v>675054</v>
      </c>
      <c r="J235">
        <v>22051625</v>
      </c>
      <c r="K235">
        <v>3.9598095587873798</v>
      </c>
      <c r="L235">
        <v>20.511087535654799</v>
      </c>
      <c r="M235">
        <v>25.6092485278987</v>
      </c>
      <c r="N235" s="2">
        <f t="shared" si="59"/>
        <v>3.0197023731902384</v>
      </c>
      <c r="O235" s="2">
        <v>0.31819999999999998</v>
      </c>
      <c r="P235" s="2">
        <f t="shared" si="60"/>
        <v>17.213355927907081</v>
      </c>
      <c r="Q235" s="2">
        <f t="shared" si="61"/>
        <v>4.2449051505959543E-3</v>
      </c>
      <c r="R235" s="2">
        <f t="shared" si="62"/>
        <v>0.12330489416449875</v>
      </c>
      <c r="S235" s="2">
        <f t="shared" si="63"/>
        <v>0.29175563463819693</v>
      </c>
      <c r="T235" s="2">
        <v>7.4650068557275087E-2</v>
      </c>
      <c r="U235" s="2">
        <v>3.5396280594264098E-2</v>
      </c>
      <c r="V235" s="3">
        <f t="shared" si="64"/>
        <v>3.061243785888795E-2</v>
      </c>
      <c r="W235">
        <v>0</v>
      </c>
      <c r="X235" t="e">
        <f t="shared" si="54"/>
        <v>#NUM!</v>
      </c>
    </row>
    <row r="236" spans="1:24" x14ac:dyDescent="0.45">
      <c r="A236" t="s">
        <v>18</v>
      </c>
      <c r="B236">
        <v>16</v>
      </c>
      <c r="C236">
        <v>2019</v>
      </c>
      <c r="D236">
        <v>31574084</v>
      </c>
      <c r="E236">
        <v>3760411</v>
      </c>
      <c r="F236">
        <v>74621</v>
      </c>
      <c r="G236">
        <v>341924</v>
      </c>
      <c r="H236">
        <v>1197349</v>
      </c>
      <c r="I236">
        <v>748637</v>
      </c>
      <c r="J236">
        <v>23696714</v>
      </c>
      <c r="K236">
        <v>4.0230286341449499</v>
      </c>
      <c r="L236">
        <v>21.918245362198</v>
      </c>
      <c r="M236">
        <v>26.1660509841828</v>
      </c>
      <c r="N236" s="2">
        <f t="shared" si="59"/>
        <v>2.9707919024278242</v>
      </c>
      <c r="O236" s="2">
        <v>0.43959999999999999</v>
      </c>
      <c r="P236" s="2">
        <f t="shared" si="60"/>
        <v>17.26784721548707</v>
      </c>
      <c r="Q236" s="2">
        <f t="shared" si="61"/>
        <v>2.3633623068843421E-3</v>
      </c>
      <c r="R236" s="2">
        <f t="shared" si="62"/>
        <v>0.11909802355628116</v>
      </c>
      <c r="S236" s="2">
        <f t="shared" si="63"/>
        <v>0.28556753294152332</v>
      </c>
      <c r="T236" s="2">
        <v>7.3592627010500566E-2</v>
      </c>
      <c r="U236" s="2">
        <v>2.7958236745225001E-2</v>
      </c>
      <c r="V236" s="3">
        <f t="shared" si="64"/>
        <v>3.1592439356781701E-2</v>
      </c>
      <c r="W236">
        <v>0</v>
      </c>
      <c r="X236" t="e">
        <f t="shared" si="54"/>
        <v>#NUM!</v>
      </c>
    </row>
    <row r="237" spans="1:24" x14ac:dyDescent="0.45">
      <c r="A237" t="s">
        <v>18</v>
      </c>
      <c r="B237">
        <v>16</v>
      </c>
      <c r="C237">
        <v>2020</v>
      </c>
      <c r="D237">
        <v>36153015</v>
      </c>
      <c r="E237">
        <v>3929919</v>
      </c>
      <c r="F237">
        <v>169508</v>
      </c>
      <c r="G237">
        <v>241760</v>
      </c>
      <c r="H237">
        <v>1148188</v>
      </c>
      <c r="I237">
        <v>626490</v>
      </c>
      <c r="J237">
        <v>25675229</v>
      </c>
      <c r="K237">
        <v>4.0399838659549498</v>
      </c>
      <c r="L237">
        <v>23.747196863397502</v>
      </c>
      <c r="M237">
        <v>26.4783455246633</v>
      </c>
      <c r="N237" s="2">
        <f t="shared" si="59"/>
        <v>2.9020376411973392</v>
      </c>
      <c r="O237" s="2">
        <v>0.44540000000000002</v>
      </c>
      <c r="P237" s="2">
        <f t="shared" si="60"/>
        <v>17.403270905580879</v>
      </c>
      <c r="Q237" s="2">
        <f t="shared" si="61"/>
        <v>4.6886269374767225E-3</v>
      </c>
      <c r="R237" s="2">
        <f t="shared" si="62"/>
        <v>0.10870238623251753</v>
      </c>
      <c r="S237" s="2">
        <f t="shared" si="63"/>
        <v>0.21055785289517048</v>
      </c>
      <c r="T237" s="2">
        <v>2.8654132091227212E-2</v>
      </c>
      <c r="U237" s="2">
        <v>3.2209343665251404E-2</v>
      </c>
      <c r="V237" s="3">
        <f t="shared" si="64"/>
        <v>2.4400561334818084E-2</v>
      </c>
      <c r="W237">
        <v>0</v>
      </c>
      <c r="X237" t="e">
        <f t="shared" si="54"/>
        <v>#NUM!</v>
      </c>
    </row>
    <row r="238" spans="1:24" x14ac:dyDescent="0.45">
      <c r="A238" t="s">
        <v>18</v>
      </c>
      <c r="B238">
        <v>16</v>
      </c>
      <c r="C238">
        <v>2021</v>
      </c>
      <c r="D238">
        <v>40521052</v>
      </c>
      <c r="E238">
        <v>4180846</v>
      </c>
      <c r="F238">
        <v>258380</v>
      </c>
      <c r="G238">
        <v>427742</v>
      </c>
      <c r="H238">
        <v>1165856</v>
      </c>
      <c r="I238">
        <v>693936</v>
      </c>
      <c r="J238">
        <v>27498895</v>
      </c>
      <c r="K238">
        <v>2.9295233226858799</v>
      </c>
      <c r="L238">
        <v>25.554737309897</v>
      </c>
      <c r="M238">
        <v>27.207097804316199</v>
      </c>
      <c r="N238" s="2">
        <f t="shared" si="59"/>
        <v>2.8676091763604719</v>
      </c>
      <c r="P238" s="2">
        <f t="shared" si="60"/>
        <v>17.517332199495396</v>
      </c>
      <c r="Q238" s="2">
        <f t="shared" si="61"/>
        <v>6.3764385978922755E-3</v>
      </c>
      <c r="R238" s="2">
        <f t="shared" si="62"/>
        <v>0.10317713370324147</v>
      </c>
      <c r="S238" s="2">
        <f t="shared" si="63"/>
        <v>0.36689093678807677</v>
      </c>
      <c r="T238" s="2">
        <v>2.5615641067098523E-2</v>
      </c>
      <c r="U238" s="2">
        <v>1.8347155481044399E-2</v>
      </c>
      <c r="V238" s="3">
        <f t="shared" si="64"/>
        <v>2.5235050353841489E-2</v>
      </c>
      <c r="W238">
        <v>0</v>
      </c>
      <c r="X238" t="e">
        <f t="shared" si="54"/>
        <v>#NUM!</v>
      </c>
    </row>
    <row r="239" spans="1:24" x14ac:dyDescent="0.45">
      <c r="A239" t="s">
        <v>18</v>
      </c>
      <c r="B239">
        <v>16</v>
      </c>
      <c r="C239">
        <v>2022</v>
      </c>
      <c r="D239">
        <v>48991137</v>
      </c>
      <c r="E239">
        <v>4584528</v>
      </c>
      <c r="F239">
        <v>403687</v>
      </c>
      <c r="G239">
        <v>301256</v>
      </c>
      <c r="H239">
        <v>1511481</v>
      </c>
      <c r="I239">
        <v>744543</v>
      </c>
      <c r="J239">
        <v>29050846</v>
      </c>
      <c r="K239">
        <v>3.0268176838110499</v>
      </c>
      <c r="L239">
        <v>19.886983507523201</v>
      </c>
      <c r="M239">
        <v>27.746488205671799</v>
      </c>
      <c r="N239" s="2">
        <f t="shared" si="59"/>
        <v>2.7943895071058873</v>
      </c>
      <c r="O239" s="2">
        <v>0.3503</v>
      </c>
      <c r="P239" s="2">
        <f t="shared" si="60"/>
        <v>17.707149962163562</v>
      </c>
      <c r="Q239" s="2">
        <f t="shared" si="61"/>
        <v>8.2400006352169371E-3</v>
      </c>
      <c r="R239" s="2">
        <f t="shared" si="62"/>
        <v>9.3578722208468038E-2</v>
      </c>
      <c r="S239" s="2">
        <f t="shared" si="63"/>
        <v>0.1993118008099341</v>
      </c>
      <c r="T239" s="2">
        <v>8.0197923744283764E-2</v>
      </c>
      <c r="U239" s="2">
        <v>3.1565074996312899E-2</v>
      </c>
      <c r="V239" s="3">
        <f t="shared" si="64"/>
        <v>2.5628961029224417E-2</v>
      </c>
      <c r="W239">
        <v>0</v>
      </c>
      <c r="X239" t="e">
        <f t="shared" si="54"/>
        <v>#NUM!</v>
      </c>
    </row>
    <row r="240" spans="1:24" x14ac:dyDescent="0.45">
      <c r="A240" t="s">
        <v>18</v>
      </c>
      <c r="B240">
        <v>16</v>
      </c>
      <c r="C240">
        <v>2023</v>
      </c>
      <c r="D240">
        <v>55491118</v>
      </c>
      <c r="E240">
        <v>4863824</v>
      </c>
      <c r="F240">
        <v>279895</v>
      </c>
      <c r="G240">
        <v>92116</v>
      </c>
      <c r="H240">
        <v>1393470</v>
      </c>
      <c r="I240">
        <v>1008274</v>
      </c>
      <c r="J240">
        <v>35335012</v>
      </c>
      <c r="K240">
        <v>3.07187771218757</v>
      </c>
      <c r="L240">
        <v>19.004474740999601</v>
      </c>
      <c r="M240">
        <v>27.341668248477099</v>
      </c>
      <c r="N240" s="2">
        <f t="shared" si="59"/>
        <v>2.7005041677524293</v>
      </c>
      <c r="P240" s="2">
        <f t="shared" si="60"/>
        <v>17.831733529873492</v>
      </c>
      <c r="Q240" s="2">
        <f t="shared" si="61"/>
        <v>5.0439603685764629E-3</v>
      </c>
      <c r="R240" s="2">
        <f t="shared" si="62"/>
        <v>8.7650495706357912E-2</v>
      </c>
      <c r="S240" s="2">
        <f t="shared" si="63"/>
        <v>6.6105477692379455E-2</v>
      </c>
      <c r="T240" s="2">
        <v>5.0499999999999996E-2</v>
      </c>
      <c r="U240" s="2">
        <v>3.2500000000000001E-2</v>
      </c>
      <c r="V240" s="3">
        <f t="shared" si="64"/>
        <v>2.8534700936283821E-2</v>
      </c>
      <c r="W240">
        <v>0</v>
      </c>
      <c r="X240" t="e">
        <f t="shared" si="54"/>
        <v>#NUM!</v>
      </c>
    </row>
    <row r="241" spans="1:24" x14ac:dyDescent="0.45">
      <c r="A241" t="s">
        <v>18</v>
      </c>
      <c r="B241">
        <v>16</v>
      </c>
      <c r="C241">
        <v>2024</v>
      </c>
      <c r="D241">
        <v>73015115</v>
      </c>
      <c r="E241">
        <v>5166050</v>
      </c>
      <c r="F241">
        <v>339803</v>
      </c>
      <c r="G241">
        <v>172559</v>
      </c>
      <c r="H241">
        <v>1831397</v>
      </c>
      <c r="I241">
        <v>1060917</v>
      </c>
      <c r="J241">
        <v>41236482</v>
      </c>
      <c r="K241">
        <v>3.0966938195511502</v>
      </c>
      <c r="L241">
        <v>27.889422983664101</v>
      </c>
      <c r="M241">
        <v>27.243425052219401</v>
      </c>
      <c r="N241" s="2">
        <f t="shared" si="59"/>
        <v>2.4940960146745494</v>
      </c>
      <c r="P241" s="2">
        <f t="shared" si="60"/>
        <v>18.106177032474299</v>
      </c>
      <c r="Q241" s="2">
        <f t="shared" si="61"/>
        <v>4.6538720099256158E-3</v>
      </c>
      <c r="R241" s="2">
        <f t="shared" si="62"/>
        <v>7.0753158438495917E-2</v>
      </c>
      <c r="S241" s="2">
        <f t="shared" si="63"/>
        <v>9.4222607113585974E-2</v>
      </c>
      <c r="T241" s="2">
        <v>7.0900000000000005E-2</v>
      </c>
      <c r="U241" s="2">
        <v>3.6299999999999999E-2</v>
      </c>
      <c r="V241" s="3">
        <f t="shared" si="64"/>
        <v>2.5727631178624793E-2</v>
      </c>
      <c r="W241">
        <v>0</v>
      </c>
      <c r="X241" t="e">
        <f t="shared" si="54"/>
        <v>#NUM!</v>
      </c>
    </row>
    <row r="242" spans="1:24" x14ac:dyDescent="0.45">
      <c r="A242" t="s">
        <v>19</v>
      </c>
      <c r="B242">
        <v>17</v>
      </c>
      <c r="C242">
        <v>2010</v>
      </c>
      <c r="D242">
        <v>16784663</v>
      </c>
      <c r="E242">
        <v>3528539</v>
      </c>
      <c r="F242">
        <v>797667</v>
      </c>
      <c r="G242">
        <v>648043</v>
      </c>
      <c r="H242">
        <v>1221510</v>
      </c>
      <c r="J242">
        <v>10455752</v>
      </c>
      <c r="K242">
        <v>3.2718982631890698</v>
      </c>
      <c r="L242">
        <v>9.7075901186610398</v>
      </c>
      <c r="M242">
        <v>17.334389639963199</v>
      </c>
      <c r="N242" s="2">
        <f t="shared" ref="N242:N256" si="65">LN((Q242+R242)/(_xlfn.STDEV.S($Q$242:$Q$256)))</f>
        <v>3.0882898205587503</v>
      </c>
      <c r="P242" s="2">
        <f t="shared" si="60"/>
        <v>16.635976110744615</v>
      </c>
      <c r="Q242" s="2">
        <f t="shared" si="61"/>
        <v>4.7523563624720974E-2</v>
      </c>
      <c r="R242" s="2">
        <f t="shared" si="62"/>
        <v>0.21022400032696517</v>
      </c>
      <c r="S242" s="2">
        <f t="shared" si="63"/>
        <v>0.53052615205769904</v>
      </c>
      <c r="T242" s="2">
        <v>6.4232448223948205E-2</v>
      </c>
      <c r="U242" s="2">
        <v>9.20746648778413E-2</v>
      </c>
      <c r="W242">
        <v>4</v>
      </c>
      <c r="X242">
        <f t="shared" si="54"/>
        <v>1.3862943611198906</v>
      </c>
    </row>
    <row r="243" spans="1:24" x14ac:dyDescent="0.45">
      <c r="A243" t="s">
        <v>19</v>
      </c>
      <c r="B243">
        <v>17</v>
      </c>
      <c r="C243">
        <v>2011</v>
      </c>
      <c r="D243">
        <v>15365115</v>
      </c>
      <c r="E243">
        <v>3304927</v>
      </c>
      <c r="F243">
        <v>303948</v>
      </c>
      <c r="G243">
        <v>81476</v>
      </c>
      <c r="H243">
        <v>923423</v>
      </c>
      <c r="J243">
        <v>11182716</v>
      </c>
      <c r="K243">
        <v>3.59352181546691</v>
      </c>
      <c r="L243">
        <v>10.9472107468528</v>
      </c>
      <c r="M243">
        <v>19.912794817213701</v>
      </c>
      <c r="N243" s="2">
        <f t="shared" si="65"/>
        <v>2.9953608372248084</v>
      </c>
      <c r="O243" s="2">
        <v>0.42020000000000002</v>
      </c>
      <c r="P243" s="2">
        <f t="shared" si="60"/>
        <v>16.547610238061505</v>
      </c>
      <c r="Q243" s="2">
        <f t="shared" si="61"/>
        <v>1.9781693791422972E-2</v>
      </c>
      <c r="R243" s="2">
        <f t="shared" si="62"/>
        <v>0.21509289061617828</v>
      </c>
      <c r="S243" s="2">
        <f t="shared" si="63"/>
        <v>8.8232586799332477E-2</v>
      </c>
      <c r="T243" s="2">
        <v>6.4131688968168274E-2</v>
      </c>
      <c r="U243" s="2">
        <v>0.18677732277070699</v>
      </c>
      <c r="W243">
        <v>1</v>
      </c>
      <c r="X243">
        <f t="shared" si="54"/>
        <v>0</v>
      </c>
    </row>
    <row r="244" spans="1:24" x14ac:dyDescent="0.45">
      <c r="A244" t="s">
        <v>19</v>
      </c>
      <c r="B244">
        <v>17</v>
      </c>
      <c r="C244">
        <v>2012</v>
      </c>
      <c r="D244">
        <v>14852518</v>
      </c>
      <c r="E244">
        <v>3539465</v>
      </c>
      <c r="F244">
        <v>297247</v>
      </c>
      <c r="G244">
        <v>85121</v>
      </c>
      <c r="H244">
        <v>1051720</v>
      </c>
      <c r="J244">
        <v>10860925</v>
      </c>
      <c r="K244">
        <v>3.1504539182237998</v>
      </c>
      <c r="L244">
        <v>12.0614890394782</v>
      </c>
      <c r="M244">
        <v>20.9770541106558</v>
      </c>
      <c r="N244" s="2">
        <f t="shared" si="65"/>
        <v>3.0905107645383563</v>
      </c>
      <c r="P244" s="2">
        <f t="shared" si="60"/>
        <v>16.513679971128486</v>
      </c>
      <c r="Q244" s="2">
        <f t="shared" si="61"/>
        <v>2.0013239505920814E-2</v>
      </c>
      <c r="R244" s="2">
        <f t="shared" si="62"/>
        <v>0.23830740349885454</v>
      </c>
      <c r="S244" s="2">
        <f t="shared" si="63"/>
        <v>8.0935039744418666E-2</v>
      </c>
      <c r="T244" s="2">
        <v>5.5045447041188994E-2</v>
      </c>
      <c r="U244" s="2">
        <v>9.0947033955719195E-2</v>
      </c>
      <c r="W244">
        <v>10</v>
      </c>
      <c r="X244">
        <f t="shared" si="54"/>
        <v>2.3025850929940459</v>
      </c>
    </row>
    <row r="245" spans="1:24" x14ac:dyDescent="0.45">
      <c r="A245" t="s">
        <v>19</v>
      </c>
      <c r="B245">
        <v>17</v>
      </c>
      <c r="C245">
        <v>2013</v>
      </c>
      <c r="D245">
        <v>14684739</v>
      </c>
      <c r="E245">
        <v>3500569</v>
      </c>
      <c r="F245">
        <v>172772</v>
      </c>
      <c r="G245">
        <v>79092</v>
      </c>
      <c r="H245">
        <v>764953</v>
      </c>
      <c r="I245">
        <v>239185</v>
      </c>
      <c r="J245">
        <v>10669968</v>
      </c>
      <c r="K245">
        <v>3.6926464082046402</v>
      </c>
      <c r="L245">
        <v>12.840142796842899</v>
      </c>
      <c r="M245">
        <v>22.1573299611807</v>
      </c>
      <c r="N245" s="2">
        <f t="shared" si="65"/>
        <v>3.0583572388085334</v>
      </c>
      <c r="P245" s="2">
        <f t="shared" si="60"/>
        <v>16.502319349218915</v>
      </c>
      <c r="Q245" s="2">
        <f t="shared" si="61"/>
        <v>1.1765411697136735E-2</v>
      </c>
      <c r="R245" s="2">
        <f t="shared" si="62"/>
        <v>0.23838142441619153</v>
      </c>
      <c r="S245" s="2">
        <f t="shared" si="63"/>
        <v>0.10339458764133221</v>
      </c>
      <c r="T245" s="2">
        <v>5.5535108102607179E-2</v>
      </c>
      <c r="U245" s="2">
        <v>6.5926747589919191E-2</v>
      </c>
      <c r="V245" s="3">
        <f t="shared" ref="V245:V271" si="66">I245/J245</f>
        <v>2.2416655795031437E-2</v>
      </c>
      <c r="W245">
        <v>3</v>
      </c>
      <c r="X245">
        <f t="shared" si="54"/>
        <v>1.0986122886681098</v>
      </c>
    </row>
    <row r="246" spans="1:24" x14ac:dyDescent="0.45">
      <c r="A246" t="s">
        <v>19</v>
      </c>
      <c r="B246">
        <v>17</v>
      </c>
      <c r="C246">
        <v>2014</v>
      </c>
      <c r="D246">
        <v>15823336</v>
      </c>
      <c r="E246">
        <v>3485831</v>
      </c>
      <c r="F246">
        <v>180885</v>
      </c>
      <c r="G246">
        <v>118093</v>
      </c>
      <c r="H246">
        <v>793875</v>
      </c>
      <c r="I246">
        <v>233661</v>
      </c>
      <c r="J246">
        <v>11232242</v>
      </c>
      <c r="K246">
        <v>3.8792484082456702</v>
      </c>
      <c r="L246">
        <v>14.6258764318214</v>
      </c>
      <c r="M246">
        <v>22.979955992336901</v>
      </c>
      <c r="N246" s="2">
        <f t="shared" si="65"/>
        <v>2.9818750540569643</v>
      </c>
      <c r="P246" s="2">
        <f t="shared" si="60"/>
        <v>16.576996370386869</v>
      </c>
      <c r="Q246" s="2">
        <f t="shared" si="61"/>
        <v>1.1431533780234459E-2</v>
      </c>
      <c r="R246" s="2">
        <f t="shared" si="62"/>
        <v>0.22029684511534103</v>
      </c>
      <c r="S246" s="2">
        <f t="shared" si="63"/>
        <v>0.14875515666824121</v>
      </c>
      <c r="T246" s="2">
        <v>6.4222431211856723E-2</v>
      </c>
      <c r="U246" s="2">
        <v>4.0845544663761703E-2</v>
      </c>
      <c r="V246" s="3">
        <f t="shared" si="66"/>
        <v>2.0802703503005011E-2</v>
      </c>
      <c r="W246">
        <v>3</v>
      </c>
      <c r="X246">
        <f t="shared" si="54"/>
        <v>1.0986122886681098</v>
      </c>
    </row>
    <row r="247" spans="1:24" x14ac:dyDescent="0.45">
      <c r="A247" t="s">
        <v>19</v>
      </c>
      <c r="B247">
        <v>17</v>
      </c>
      <c r="C247">
        <v>2015</v>
      </c>
      <c r="D247">
        <v>17748745</v>
      </c>
      <c r="E247">
        <v>3390944</v>
      </c>
      <c r="F247">
        <v>43114</v>
      </c>
      <c r="G247">
        <v>77637</v>
      </c>
      <c r="H247">
        <v>700459</v>
      </c>
      <c r="I247">
        <v>218483</v>
      </c>
      <c r="J247">
        <v>11612018</v>
      </c>
      <c r="K247">
        <v>3.7957611751290998</v>
      </c>
      <c r="L247">
        <v>15.8219673058815</v>
      </c>
      <c r="M247">
        <v>24.006275960852001</v>
      </c>
      <c r="N247" s="2">
        <f t="shared" si="65"/>
        <v>2.8014922709548804</v>
      </c>
      <c r="P247" s="2">
        <f t="shared" si="60"/>
        <v>16.691825367160686</v>
      </c>
      <c r="Q247" s="2">
        <f t="shared" si="61"/>
        <v>2.4291294961981819E-3</v>
      </c>
      <c r="R247" s="2">
        <f t="shared" si="62"/>
        <v>0.19105260681811587</v>
      </c>
      <c r="S247" s="2">
        <f t="shared" si="63"/>
        <v>0.11083732238432228</v>
      </c>
      <c r="T247" s="2">
        <v>6.9871543059861096E-2</v>
      </c>
      <c r="U247" s="2">
        <v>6.3120090517575396E-3</v>
      </c>
      <c r="V247" s="3">
        <f t="shared" si="66"/>
        <v>1.8815248133442437E-2</v>
      </c>
      <c r="W247">
        <v>5</v>
      </c>
      <c r="X247">
        <f t="shared" si="54"/>
        <v>1.6094379124341003</v>
      </c>
    </row>
    <row r="248" spans="1:24" x14ac:dyDescent="0.45">
      <c r="A248" t="s">
        <v>19</v>
      </c>
      <c r="B248">
        <v>17</v>
      </c>
      <c r="C248">
        <v>2016</v>
      </c>
      <c r="D248">
        <v>19047890</v>
      </c>
      <c r="E248">
        <v>3514845</v>
      </c>
      <c r="F248">
        <v>139400</v>
      </c>
      <c r="G248">
        <v>102500</v>
      </c>
      <c r="H248">
        <v>734999</v>
      </c>
      <c r="I248">
        <v>329801</v>
      </c>
      <c r="J248">
        <v>12533642</v>
      </c>
      <c r="K248">
        <v>3.8729071718276198</v>
      </c>
      <c r="L248">
        <v>18.127194558590599</v>
      </c>
      <c r="M248">
        <v>24.4994330579914</v>
      </c>
      <c r="N248" s="2">
        <f t="shared" si="65"/>
        <v>2.7929975991274762</v>
      </c>
      <c r="O248" s="2">
        <v>0.41399999999999998</v>
      </c>
      <c r="P248" s="2">
        <f t="shared" si="60"/>
        <v>16.762466892247659</v>
      </c>
      <c r="Q248" s="2">
        <f t="shared" si="61"/>
        <v>7.3183958958183823E-3</v>
      </c>
      <c r="R248" s="2">
        <f t="shared" si="62"/>
        <v>0.18452673760715754</v>
      </c>
      <c r="S248" s="2">
        <f t="shared" si="63"/>
        <v>0.13945597204894156</v>
      </c>
      <c r="T248" s="2">
        <v>6.6900089266042351E-2</v>
      </c>
      <c r="U248" s="2">
        <v>2.6682481696908199E-2</v>
      </c>
      <c r="V248" s="3">
        <f t="shared" si="66"/>
        <v>2.6313261540420574E-2</v>
      </c>
      <c r="W248">
        <v>0</v>
      </c>
      <c r="X248" t="e">
        <f t="shared" si="54"/>
        <v>#NUM!</v>
      </c>
    </row>
    <row r="249" spans="1:24" x14ac:dyDescent="0.45">
      <c r="A249" t="s">
        <v>19</v>
      </c>
      <c r="B249">
        <v>17</v>
      </c>
      <c r="C249">
        <v>2017</v>
      </c>
      <c r="D249">
        <v>21319355</v>
      </c>
      <c r="E249">
        <v>3417240</v>
      </c>
      <c r="F249">
        <v>54595</v>
      </c>
      <c r="G249">
        <v>98331</v>
      </c>
      <c r="H249">
        <v>754926</v>
      </c>
      <c r="I249">
        <v>420326</v>
      </c>
      <c r="J249">
        <v>14105444</v>
      </c>
      <c r="K249">
        <v>3.4878659520670099</v>
      </c>
      <c r="L249">
        <v>19.9794949903735</v>
      </c>
      <c r="M249">
        <v>24.408110955118602</v>
      </c>
      <c r="N249" s="2">
        <f t="shared" si="65"/>
        <v>2.6291323549650261</v>
      </c>
      <c r="O249" s="2">
        <v>0.4204</v>
      </c>
      <c r="P249" s="2">
        <f t="shared" si="60"/>
        <v>16.875125903520978</v>
      </c>
      <c r="Q249" s="2">
        <f t="shared" si="61"/>
        <v>2.5608185613495344E-3</v>
      </c>
      <c r="R249" s="2">
        <f t="shared" si="62"/>
        <v>0.16028815130664131</v>
      </c>
      <c r="S249" s="2">
        <f t="shared" si="63"/>
        <v>0.13025250156969029</v>
      </c>
      <c r="T249" s="2">
        <v>6.9401903735920603E-2</v>
      </c>
      <c r="U249" s="2">
        <v>3.5202568881161703E-2</v>
      </c>
      <c r="V249" s="3">
        <f t="shared" si="66"/>
        <v>2.979884929535008E-2</v>
      </c>
      <c r="W249">
        <v>9</v>
      </c>
      <c r="X249">
        <f t="shared" si="54"/>
        <v>2.1972245773362196</v>
      </c>
    </row>
    <row r="250" spans="1:24" x14ac:dyDescent="0.45">
      <c r="A250" t="s">
        <v>19</v>
      </c>
      <c r="B250">
        <v>17</v>
      </c>
      <c r="C250">
        <v>2018</v>
      </c>
      <c r="D250">
        <v>20373555</v>
      </c>
      <c r="E250">
        <v>3434871</v>
      </c>
      <c r="F250">
        <v>41631</v>
      </c>
      <c r="G250">
        <v>184658</v>
      </c>
      <c r="H250">
        <v>845213</v>
      </c>
      <c r="I250">
        <v>300952</v>
      </c>
      <c r="J250">
        <v>13671099</v>
      </c>
      <c r="K250">
        <v>3.9598095587873798</v>
      </c>
      <c r="L250">
        <v>20.511087535654799</v>
      </c>
      <c r="M250">
        <v>25.6092485278987</v>
      </c>
      <c r="N250" s="2">
        <f t="shared" si="65"/>
        <v>2.6758533073757973</v>
      </c>
      <c r="O250" s="2">
        <v>0.5282</v>
      </c>
      <c r="P250" s="2">
        <f t="shared" si="60"/>
        <v>16.829748294330841</v>
      </c>
      <c r="Q250" s="2">
        <f t="shared" si="61"/>
        <v>2.0433841811112493E-3</v>
      </c>
      <c r="R250" s="2">
        <f t="shared" si="62"/>
        <v>0.16859458253603751</v>
      </c>
      <c r="S250" s="2">
        <f t="shared" si="63"/>
        <v>0.21847510627498631</v>
      </c>
      <c r="T250" s="2">
        <v>7.4650068557275087E-2</v>
      </c>
      <c r="U250" s="2">
        <v>3.5396280594264098E-2</v>
      </c>
      <c r="V250" s="3">
        <f t="shared" si="66"/>
        <v>2.2013738617502512E-2</v>
      </c>
      <c r="W250">
        <v>8</v>
      </c>
      <c r="X250">
        <f t="shared" si="54"/>
        <v>2.0794415416798357</v>
      </c>
    </row>
    <row r="251" spans="1:24" x14ac:dyDescent="0.45">
      <c r="A251" t="s">
        <v>19</v>
      </c>
      <c r="B251">
        <v>17</v>
      </c>
      <c r="C251">
        <v>2019</v>
      </c>
      <c r="D251">
        <v>22812835</v>
      </c>
      <c r="E251">
        <v>3561206</v>
      </c>
      <c r="F251">
        <v>144622</v>
      </c>
      <c r="G251">
        <v>132454</v>
      </c>
      <c r="H251">
        <v>864755</v>
      </c>
      <c r="I251">
        <v>282305</v>
      </c>
      <c r="J251">
        <v>14556951</v>
      </c>
      <c r="K251">
        <v>4.0230286341449499</v>
      </c>
      <c r="L251">
        <v>21.918245362198</v>
      </c>
      <c r="M251">
        <v>26.1660509841828</v>
      </c>
      <c r="N251" s="2">
        <f t="shared" si="65"/>
        <v>2.6266478272890534</v>
      </c>
      <c r="P251" s="2">
        <f t="shared" si="60"/>
        <v>16.94283387413067</v>
      </c>
      <c r="Q251" s="2">
        <f t="shared" si="61"/>
        <v>6.3395014254037253E-3</v>
      </c>
      <c r="R251" s="2">
        <f t="shared" si="62"/>
        <v>0.15610536787733748</v>
      </c>
      <c r="S251" s="2">
        <f t="shared" si="63"/>
        <v>0.15316939479968314</v>
      </c>
      <c r="T251" s="2">
        <v>7.3592627010500566E-2</v>
      </c>
      <c r="U251" s="2">
        <v>2.7958236745225001E-2</v>
      </c>
      <c r="V251" s="3">
        <f t="shared" si="66"/>
        <v>1.9393140775152709E-2</v>
      </c>
      <c r="W251">
        <v>15</v>
      </c>
      <c r="X251">
        <f t="shared" si="54"/>
        <v>2.7080502011022101</v>
      </c>
    </row>
    <row r="252" spans="1:24" x14ac:dyDescent="0.45">
      <c r="A252" t="s">
        <v>19</v>
      </c>
      <c r="B252">
        <v>17</v>
      </c>
      <c r="C252">
        <v>2020</v>
      </c>
      <c r="D252">
        <v>23942788</v>
      </c>
      <c r="E252">
        <v>3621309</v>
      </c>
      <c r="F252">
        <v>97046</v>
      </c>
      <c r="G252">
        <v>158087</v>
      </c>
      <c r="H252">
        <v>748756</v>
      </c>
      <c r="I252">
        <v>223065</v>
      </c>
      <c r="J252">
        <v>15447550</v>
      </c>
      <c r="K252">
        <v>4.0399838659549498</v>
      </c>
      <c r="L252">
        <v>23.747196863397502</v>
      </c>
      <c r="M252">
        <v>26.4783455246633</v>
      </c>
      <c r="N252" s="2">
        <f t="shared" si="65"/>
        <v>2.5816786429168421</v>
      </c>
      <c r="O252" s="2">
        <v>0.42009999999999997</v>
      </c>
      <c r="P252" s="2">
        <f t="shared" si="60"/>
        <v>16.99117770912461</v>
      </c>
      <c r="Q252" s="2">
        <f t="shared" si="61"/>
        <v>4.053245595291576E-3</v>
      </c>
      <c r="R252" s="2">
        <f t="shared" si="62"/>
        <v>0.15124842603960742</v>
      </c>
      <c r="S252" s="2">
        <f t="shared" si="63"/>
        <v>0.21113286571326306</v>
      </c>
      <c r="T252" s="2">
        <v>2.8654132091227212E-2</v>
      </c>
      <c r="U252" s="2">
        <v>3.2209343665251404E-2</v>
      </c>
      <c r="V252" s="3">
        <f t="shared" si="66"/>
        <v>1.4440153940268844E-2</v>
      </c>
      <c r="W252">
        <v>18</v>
      </c>
      <c r="X252">
        <f t="shared" si="54"/>
        <v>2.8903717578961645</v>
      </c>
    </row>
    <row r="253" spans="1:24" x14ac:dyDescent="0.45">
      <c r="A253" t="s">
        <v>19</v>
      </c>
      <c r="B253">
        <v>17</v>
      </c>
      <c r="C253">
        <v>2021</v>
      </c>
      <c r="D253">
        <v>24608953</v>
      </c>
      <c r="E253">
        <v>3709025</v>
      </c>
      <c r="F253">
        <v>122686</v>
      </c>
      <c r="G253">
        <v>293958</v>
      </c>
      <c r="H253">
        <v>883129</v>
      </c>
      <c r="I253">
        <v>325285</v>
      </c>
      <c r="J253">
        <v>16502139</v>
      </c>
      <c r="K253">
        <v>2.9295233226858799</v>
      </c>
      <c r="L253">
        <v>25.554737309897</v>
      </c>
      <c r="M253">
        <v>27.207097804316199</v>
      </c>
      <c r="N253" s="2">
        <f t="shared" si="65"/>
        <v>2.5842655478058627</v>
      </c>
      <c r="P253" s="2">
        <f t="shared" si="60"/>
        <v>17.018620877780801</v>
      </c>
      <c r="Q253" s="2">
        <f t="shared" si="61"/>
        <v>4.9854213627048656E-3</v>
      </c>
      <c r="R253" s="2">
        <f t="shared" si="62"/>
        <v>0.15071852101956551</v>
      </c>
      <c r="S253" s="2">
        <f t="shared" si="63"/>
        <v>0.33285963885230813</v>
      </c>
      <c r="T253" s="2">
        <v>2.5615641067098523E-2</v>
      </c>
      <c r="U253" s="2">
        <v>1.8347155481044399E-2</v>
      </c>
      <c r="V253" s="3">
        <f t="shared" si="66"/>
        <v>1.9711687072809167E-2</v>
      </c>
      <c r="W253">
        <v>22</v>
      </c>
      <c r="X253">
        <f t="shared" si="54"/>
        <v>3.0910424533583161</v>
      </c>
    </row>
    <row r="254" spans="1:24" x14ac:dyDescent="0.45">
      <c r="A254" t="s">
        <v>19</v>
      </c>
      <c r="B254">
        <v>17</v>
      </c>
      <c r="C254">
        <v>2022</v>
      </c>
      <c r="D254">
        <v>27698047</v>
      </c>
      <c r="E254">
        <v>3899014</v>
      </c>
      <c r="F254">
        <v>189989</v>
      </c>
      <c r="G254">
        <v>180137</v>
      </c>
      <c r="H254">
        <v>1055455</v>
      </c>
      <c r="I254">
        <v>397602</v>
      </c>
      <c r="J254">
        <v>18714226</v>
      </c>
      <c r="K254">
        <v>3.0268176838110499</v>
      </c>
      <c r="L254">
        <v>19.886983507523201</v>
      </c>
      <c r="M254">
        <v>27.746488205671799</v>
      </c>
      <c r="N254" s="2">
        <f t="shared" si="65"/>
        <v>2.5310036976597994</v>
      </c>
      <c r="P254" s="2">
        <f t="shared" si="60"/>
        <v>17.136872463256783</v>
      </c>
      <c r="Q254" s="2">
        <f t="shared" si="61"/>
        <v>6.8592922815099563E-3</v>
      </c>
      <c r="R254" s="2">
        <f t="shared" si="62"/>
        <v>0.1407685531041232</v>
      </c>
      <c r="S254" s="2">
        <f t="shared" si="63"/>
        <v>0.17067236405152281</v>
      </c>
      <c r="T254" s="2">
        <v>8.0197923744283764E-2</v>
      </c>
      <c r="U254" s="2">
        <v>3.1565074996312899E-2</v>
      </c>
      <c r="V254" s="3">
        <f t="shared" si="66"/>
        <v>2.1245976189450743E-2</v>
      </c>
      <c r="W254">
        <v>23</v>
      </c>
      <c r="X254">
        <f t="shared" si="54"/>
        <v>3.1354942159291497</v>
      </c>
    </row>
    <row r="255" spans="1:24" x14ac:dyDescent="0.45">
      <c r="A255" t="s">
        <v>19</v>
      </c>
      <c r="B255">
        <v>17</v>
      </c>
      <c r="C255">
        <v>2023</v>
      </c>
      <c r="D255">
        <v>31500625</v>
      </c>
      <c r="E255">
        <v>4069112</v>
      </c>
      <c r="F255">
        <v>266789</v>
      </c>
      <c r="G255">
        <v>279643</v>
      </c>
      <c r="H255">
        <v>1171587</v>
      </c>
      <c r="I255">
        <v>404512</v>
      </c>
      <c r="J255">
        <v>19967377</v>
      </c>
      <c r="K255">
        <v>3.07187771218757</v>
      </c>
      <c r="L255">
        <v>19.004474740999601</v>
      </c>
      <c r="M255">
        <v>27.341668248477099</v>
      </c>
      <c r="N255" s="2">
        <f t="shared" si="65"/>
        <v>2.4609864727631288</v>
      </c>
      <c r="P255" s="2">
        <f t="shared" si="60"/>
        <v>17.265517944868868</v>
      </c>
      <c r="Q255" s="2">
        <f t="shared" si="61"/>
        <v>8.4693240213487824E-3</v>
      </c>
      <c r="R255" s="2">
        <f t="shared" si="62"/>
        <v>0.12917559572230711</v>
      </c>
      <c r="S255" s="2">
        <f t="shared" si="63"/>
        <v>0.23868735313724035</v>
      </c>
      <c r="T255" s="2">
        <v>5.0499999999999996E-2</v>
      </c>
      <c r="U255" s="2">
        <v>3.2500000000000001E-2</v>
      </c>
      <c r="V255" s="3">
        <f t="shared" si="66"/>
        <v>2.0258644888610056E-2</v>
      </c>
      <c r="W255">
        <v>0</v>
      </c>
      <c r="X255" t="e">
        <f t="shared" si="54"/>
        <v>#NUM!</v>
      </c>
    </row>
    <row r="256" spans="1:24" x14ac:dyDescent="0.45">
      <c r="A256" t="s">
        <v>19</v>
      </c>
      <c r="B256">
        <v>17</v>
      </c>
      <c r="C256">
        <v>2024</v>
      </c>
      <c r="D256">
        <v>33260400</v>
      </c>
      <c r="E256">
        <v>4089832</v>
      </c>
      <c r="F256">
        <v>79168</v>
      </c>
      <c r="G256">
        <v>196591</v>
      </c>
      <c r="H256">
        <v>900869</v>
      </c>
      <c r="I256">
        <v>581141</v>
      </c>
      <c r="J256">
        <v>21834544</v>
      </c>
      <c r="K256">
        <v>3.0966938195511502</v>
      </c>
      <c r="L256">
        <v>27.889422983664101</v>
      </c>
      <c r="M256">
        <v>27.243425052219401</v>
      </c>
      <c r="N256" s="2">
        <f t="shared" si="65"/>
        <v>2.3673731266423417</v>
      </c>
      <c r="P256" s="2">
        <f t="shared" si="60"/>
        <v>17.319878058114945</v>
      </c>
      <c r="Q256" s="2">
        <f t="shared" si="61"/>
        <v>2.3802479825858979E-3</v>
      </c>
      <c r="R256" s="2">
        <f t="shared" si="62"/>
        <v>0.12296400524347272</v>
      </c>
      <c r="S256" s="2">
        <f t="shared" si="63"/>
        <v>0.21822373730253788</v>
      </c>
      <c r="T256" s="2">
        <v>7.0900000000000005E-2</v>
      </c>
      <c r="U256" s="2">
        <v>3.6299999999999999E-2</v>
      </c>
      <c r="V256" s="3">
        <f t="shared" si="66"/>
        <v>2.6615669189152747E-2</v>
      </c>
      <c r="W256">
        <v>0</v>
      </c>
      <c r="X256" t="e">
        <f t="shared" si="54"/>
        <v>#NUM!</v>
      </c>
    </row>
    <row r="257" spans="1:24" x14ac:dyDescent="0.45">
      <c r="A257" t="s">
        <v>20</v>
      </c>
      <c r="B257">
        <v>18</v>
      </c>
      <c r="C257">
        <v>2010</v>
      </c>
      <c r="D257">
        <v>51032861</v>
      </c>
      <c r="E257">
        <v>4183214</v>
      </c>
      <c r="F257">
        <v>494329</v>
      </c>
      <c r="G257">
        <v>269995</v>
      </c>
      <c r="H257">
        <v>1486160</v>
      </c>
      <c r="I257">
        <v>340931</v>
      </c>
      <c r="J257">
        <v>24375588</v>
      </c>
      <c r="K257">
        <v>3.2718982631890698</v>
      </c>
      <c r="L257">
        <v>9.7075901186610398</v>
      </c>
      <c r="M257">
        <v>17.334389639963199</v>
      </c>
      <c r="N257" s="2">
        <f t="shared" ref="N257:N271" si="67">LN((Q257+R257)/(_xlfn.STDEV.S($Q$257:$Q$271)))</f>
        <v>3.2092647684046054</v>
      </c>
      <c r="O257" s="2">
        <v>0.57569999999999999</v>
      </c>
      <c r="P257" s="2">
        <f t="shared" si="60"/>
        <v>17.747980316528338</v>
      </c>
      <c r="Q257" s="2">
        <f t="shared" si="61"/>
        <v>9.6864841655653986E-3</v>
      </c>
      <c r="R257" s="2">
        <f t="shared" si="62"/>
        <v>8.1970987282096536E-2</v>
      </c>
      <c r="S257" s="2">
        <f t="shared" si="63"/>
        <v>0.18167290197556119</v>
      </c>
      <c r="T257" s="2">
        <v>6.4232448223948205E-2</v>
      </c>
      <c r="U257" s="2">
        <v>9.20746648778413E-2</v>
      </c>
      <c r="V257" s="3">
        <f t="shared" si="66"/>
        <v>1.3986575421278043E-2</v>
      </c>
      <c r="W257">
        <v>25</v>
      </c>
      <c r="X257">
        <f t="shared" si="54"/>
        <v>3.2188758248682006</v>
      </c>
    </row>
    <row r="258" spans="1:24" x14ac:dyDescent="0.45">
      <c r="A258" t="s">
        <v>20</v>
      </c>
      <c r="B258">
        <v>18</v>
      </c>
      <c r="C258">
        <v>2011</v>
      </c>
      <c r="D258">
        <v>70989542</v>
      </c>
      <c r="E258">
        <v>5830868</v>
      </c>
      <c r="F258">
        <v>753029</v>
      </c>
      <c r="G258">
        <v>330800</v>
      </c>
      <c r="H258">
        <v>2228334</v>
      </c>
      <c r="I258">
        <v>651413</v>
      </c>
      <c r="J258">
        <v>29161851</v>
      </c>
      <c r="K258">
        <v>3.59352181546691</v>
      </c>
      <c r="L258">
        <v>10.9472107468528</v>
      </c>
      <c r="M258">
        <v>19.912794817213701</v>
      </c>
      <c r="N258" s="2">
        <f t="shared" si="67"/>
        <v>3.2210558037492669</v>
      </c>
      <c r="P258" s="2">
        <f t="shared" si="60"/>
        <v>18.078043128381854</v>
      </c>
      <c r="Q258" s="2">
        <f t="shared" si="61"/>
        <v>1.0607604708873879E-2</v>
      </c>
      <c r="R258" s="2">
        <f t="shared" si="62"/>
        <v>8.2136999841469605E-2</v>
      </c>
      <c r="S258" s="2">
        <f t="shared" si="63"/>
        <v>0.14845171325304016</v>
      </c>
      <c r="T258" s="2">
        <v>6.4131688968168274E-2</v>
      </c>
      <c r="U258" s="2">
        <v>0.18677732277070699</v>
      </c>
      <c r="V258" s="3">
        <f t="shared" si="66"/>
        <v>2.233784817020017E-2</v>
      </c>
      <c r="W258">
        <v>30</v>
      </c>
      <c r="X258">
        <f t="shared" si="54"/>
        <v>3.4011973816621555</v>
      </c>
    </row>
    <row r="259" spans="1:24" x14ac:dyDescent="0.45">
      <c r="A259" t="s">
        <v>20</v>
      </c>
      <c r="B259">
        <v>18</v>
      </c>
      <c r="C259">
        <v>2012</v>
      </c>
      <c r="D259">
        <v>116537614</v>
      </c>
      <c r="E259">
        <v>9508812</v>
      </c>
      <c r="F259">
        <v>1687239</v>
      </c>
      <c r="G259">
        <v>1063928</v>
      </c>
      <c r="H259">
        <v>2939456</v>
      </c>
      <c r="I259">
        <v>5014467</v>
      </c>
      <c r="J259">
        <v>56939724</v>
      </c>
      <c r="K259">
        <v>3.1504539182237998</v>
      </c>
      <c r="L259">
        <v>12.0614890394782</v>
      </c>
      <c r="M259">
        <v>20.9770541106558</v>
      </c>
      <c r="N259" s="2">
        <f t="shared" si="67"/>
        <v>3.2563085938927561</v>
      </c>
      <c r="P259" s="2">
        <f t="shared" ref="P259:P285" si="68">LN(D259)</f>
        <v>18.573724645812501</v>
      </c>
      <c r="Q259" s="2">
        <f t="shared" ref="Q259:Q285" si="69">F259/D259</f>
        <v>1.4478063709112836E-2</v>
      </c>
      <c r="R259" s="2">
        <f t="shared" ref="R259:R285" si="70">E259/D259</f>
        <v>8.1594359740366745E-2</v>
      </c>
      <c r="S259" s="2">
        <f t="shared" ref="S259:S285" si="71">G259/H259</f>
        <v>0.36194724466023648</v>
      </c>
      <c r="T259" s="2">
        <v>5.5045447041188994E-2</v>
      </c>
      <c r="U259" s="2">
        <v>9.0947033955719195E-2</v>
      </c>
      <c r="V259" s="3">
        <f t="shared" si="66"/>
        <v>8.8066232987009205E-2</v>
      </c>
      <c r="W259">
        <v>12</v>
      </c>
      <c r="X259">
        <f t="shared" ref="X259:X322" si="72">LN(W259)</f>
        <v>2.4849066497880004</v>
      </c>
    </row>
    <row r="260" spans="1:24" x14ac:dyDescent="0.45">
      <c r="A260" t="s">
        <v>20</v>
      </c>
      <c r="B260">
        <v>18</v>
      </c>
      <c r="C260">
        <v>2013</v>
      </c>
      <c r="D260">
        <v>143625803</v>
      </c>
      <c r="E260">
        <v>10358474</v>
      </c>
      <c r="F260">
        <v>849770</v>
      </c>
      <c r="G260">
        <v>263979</v>
      </c>
      <c r="H260">
        <v>2368037</v>
      </c>
      <c r="I260">
        <v>3103791</v>
      </c>
      <c r="J260">
        <v>76509671</v>
      </c>
      <c r="K260">
        <v>3.6926464082046402</v>
      </c>
      <c r="L260">
        <v>12.840142796842899</v>
      </c>
      <c r="M260">
        <v>22.1573299611807</v>
      </c>
      <c r="N260" s="2">
        <f t="shared" si="67"/>
        <v>3.0483998067598317</v>
      </c>
      <c r="P260" s="2">
        <f t="shared" si="68"/>
        <v>18.782721885066216</v>
      </c>
      <c r="Q260" s="2">
        <f t="shared" si="69"/>
        <v>5.9165552585283025E-3</v>
      </c>
      <c r="R260" s="2">
        <f t="shared" si="70"/>
        <v>7.2121260829434666E-2</v>
      </c>
      <c r="S260" s="2">
        <f t="shared" si="71"/>
        <v>0.11147587643267398</v>
      </c>
      <c r="T260" s="2">
        <v>5.5535108102607179E-2</v>
      </c>
      <c r="U260" s="2">
        <v>6.5926747589919191E-2</v>
      </c>
      <c r="V260" s="3">
        <f t="shared" si="66"/>
        <v>4.0567302923051385E-2</v>
      </c>
      <c r="W260">
        <v>19</v>
      </c>
      <c r="X260">
        <f t="shared" si="72"/>
        <v>2.9444389791664403</v>
      </c>
    </row>
    <row r="261" spans="1:24" x14ac:dyDescent="0.45">
      <c r="A261" t="s">
        <v>20</v>
      </c>
      <c r="B261">
        <v>18</v>
      </c>
      <c r="C261">
        <v>2014</v>
      </c>
      <c r="D261">
        <v>169035546</v>
      </c>
      <c r="E261">
        <v>10482972</v>
      </c>
      <c r="F261">
        <v>790747</v>
      </c>
      <c r="G261">
        <v>531368</v>
      </c>
      <c r="H261">
        <v>3257333</v>
      </c>
      <c r="I261">
        <v>2107674</v>
      </c>
      <c r="J261">
        <v>104095714</v>
      </c>
      <c r="K261">
        <v>3.8792484082456702</v>
      </c>
      <c r="L261">
        <v>14.6258764318214</v>
      </c>
      <c r="M261">
        <v>22.979955992336901</v>
      </c>
      <c r="N261" s="2">
        <f t="shared" si="67"/>
        <v>2.8913267954758584</v>
      </c>
      <c r="O261" s="2">
        <v>0.55220000000000002</v>
      </c>
      <c r="P261" s="2">
        <f t="shared" si="68"/>
        <v>18.945619582131755</v>
      </c>
      <c r="Q261" s="2">
        <f t="shared" si="69"/>
        <v>4.6779924028523562E-3</v>
      </c>
      <c r="R261" s="2">
        <f t="shared" si="70"/>
        <v>6.2016376129550882E-2</v>
      </c>
      <c r="S261" s="2">
        <f t="shared" si="71"/>
        <v>0.16312977518724675</v>
      </c>
      <c r="T261" s="2">
        <v>6.4222431211856723E-2</v>
      </c>
      <c r="U261" s="2">
        <v>4.0845544663761703E-2</v>
      </c>
      <c r="V261" s="3">
        <f t="shared" si="66"/>
        <v>2.024746186956362E-2</v>
      </c>
      <c r="W261">
        <v>10</v>
      </c>
      <c r="X261">
        <f t="shared" si="72"/>
        <v>2.3025850929940459</v>
      </c>
    </row>
    <row r="262" spans="1:24" x14ac:dyDescent="0.45">
      <c r="A262" t="s">
        <v>20</v>
      </c>
      <c r="B262">
        <v>18</v>
      </c>
      <c r="C262">
        <v>2015</v>
      </c>
      <c r="D262">
        <v>204704140</v>
      </c>
      <c r="E262">
        <v>11257762</v>
      </c>
      <c r="F262">
        <v>795156</v>
      </c>
      <c r="G262">
        <v>241666</v>
      </c>
      <c r="H262">
        <v>3937820</v>
      </c>
      <c r="I262">
        <v>2262675</v>
      </c>
      <c r="J262">
        <v>131427193</v>
      </c>
      <c r="K262">
        <v>3.7957611751290998</v>
      </c>
      <c r="L262">
        <v>15.8219673058815</v>
      </c>
      <c r="M262">
        <v>24.006275960852001</v>
      </c>
      <c r="N262" s="2">
        <f t="shared" si="67"/>
        <v>2.7667026260156122</v>
      </c>
      <c r="O262" s="2">
        <v>0.57130000000000003</v>
      </c>
      <c r="P262" s="2">
        <f t="shared" si="68"/>
        <v>19.137076275146104</v>
      </c>
      <c r="Q262" s="2">
        <f t="shared" si="69"/>
        <v>3.8844158208036243E-3</v>
      </c>
      <c r="R262" s="2">
        <f t="shared" si="70"/>
        <v>5.4995282459846681E-2</v>
      </c>
      <c r="S262" s="2">
        <f t="shared" si="71"/>
        <v>6.1370504492333319E-2</v>
      </c>
      <c r="T262" s="2">
        <v>6.9871543059861096E-2</v>
      </c>
      <c r="U262" s="2">
        <v>6.3120090517575396E-3</v>
      </c>
      <c r="V262" s="3">
        <f t="shared" si="66"/>
        <v>1.7216185998889896E-2</v>
      </c>
      <c r="W262">
        <v>0</v>
      </c>
      <c r="X262" t="e">
        <f t="shared" si="72"/>
        <v>#NUM!</v>
      </c>
    </row>
    <row r="263" spans="1:24" x14ac:dyDescent="0.45">
      <c r="A263" t="s">
        <v>20</v>
      </c>
      <c r="B263">
        <v>18</v>
      </c>
      <c r="C263">
        <v>2016</v>
      </c>
      <c r="D263">
        <v>233947740</v>
      </c>
      <c r="E263">
        <v>13231573</v>
      </c>
      <c r="F263">
        <v>913061</v>
      </c>
      <c r="G263">
        <v>790663</v>
      </c>
      <c r="H263">
        <v>4966111</v>
      </c>
      <c r="I263">
        <v>3043980</v>
      </c>
      <c r="J263">
        <v>162376185</v>
      </c>
      <c r="K263">
        <v>3.8729071718276198</v>
      </c>
      <c r="L263">
        <v>18.127194558590599</v>
      </c>
      <c r="M263">
        <v>24.4994330579914</v>
      </c>
      <c r="N263" s="2">
        <f t="shared" si="67"/>
        <v>2.7931991273694257</v>
      </c>
      <c r="O263" s="2">
        <v>0.47599999999999998</v>
      </c>
      <c r="P263" s="2">
        <f t="shared" si="68"/>
        <v>19.27060831504604</v>
      </c>
      <c r="Q263" s="2">
        <f t="shared" si="69"/>
        <v>3.9028417201209123E-3</v>
      </c>
      <c r="R263" s="2">
        <f t="shared" si="70"/>
        <v>5.6557815006035107E-2</v>
      </c>
      <c r="S263" s="2">
        <f t="shared" si="71"/>
        <v>0.15921170509479149</v>
      </c>
      <c r="T263" s="2">
        <v>6.6900089266042351E-2</v>
      </c>
      <c r="U263" s="2">
        <v>2.6682481696908199E-2</v>
      </c>
      <c r="V263" s="3">
        <f t="shared" si="66"/>
        <v>1.8746468270577979E-2</v>
      </c>
      <c r="W263">
        <v>6</v>
      </c>
      <c r="X263">
        <f t="shared" si="72"/>
        <v>1.791759469228055</v>
      </c>
    </row>
    <row r="264" spans="1:24" x14ac:dyDescent="0.45">
      <c r="A264" t="s">
        <v>20</v>
      </c>
      <c r="B264">
        <v>18</v>
      </c>
      <c r="C264">
        <v>2017</v>
      </c>
      <c r="D264">
        <v>286010081</v>
      </c>
      <c r="E264">
        <v>14691220</v>
      </c>
      <c r="F264">
        <v>1539128</v>
      </c>
      <c r="G264">
        <v>1655504</v>
      </c>
      <c r="H264">
        <v>6452164</v>
      </c>
      <c r="I264">
        <v>4623697</v>
      </c>
      <c r="J264">
        <v>198290566</v>
      </c>
      <c r="K264">
        <v>3.4878659520670099</v>
      </c>
      <c r="L264">
        <v>19.9794949903735</v>
      </c>
      <c r="M264">
        <v>24.408110955118602</v>
      </c>
      <c r="N264" s="2">
        <f t="shared" si="67"/>
        <v>2.7298173195205897</v>
      </c>
      <c r="O264" s="2">
        <v>0.48849999999999999</v>
      </c>
      <c r="P264" s="2">
        <f t="shared" si="68"/>
        <v>19.471537616414668</v>
      </c>
      <c r="Q264" s="2">
        <f t="shared" si="69"/>
        <v>5.3813767494440166E-3</v>
      </c>
      <c r="R264" s="2">
        <f t="shared" si="70"/>
        <v>5.1366091532976423E-2</v>
      </c>
      <c r="S264" s="2">
        <f t="shared" si="71"/>
        <v>0.25658120283365393</v>
      </c>
      <c r="T264" s="2">
        <v>6.9401903735920603E-2</v>
      </c>
      <c r="U264" s="2">
        <v>3.5202568881161703E-2</v>
      </c>
      <c r="V264" s="3">
        <f t="shared" si="66"/>
        <v>2.3317786081663613E-2</v>
      </c>
      <c r="W264">
        <v>10</v>
      </c>
      <c r="X264">
        <f t="shared" si="72"/>
        <v>2.3025850929940459</v>
      </c>
    </row>
    <row r="265" spans="1:24" x14ac:dyDescent="0.45">
      <c r="A265" t="s">
        <v>20</v>
      </c>
      <c r="B265">
        <v>18</v>
      </c>
      <c r="C265">
        <v>2018</v>
      </c>
      <c r="D265">
        <v>323276008</v>
      </c>
      <c r="E265">
        <v>16332532</v>
      </c>
      <c r="F265">
        <v>1672319</v>
      </c>
      <c r="G265">
        <v>1185833</v>
      </c>
      <c r="H265">
        <v>6741735</v>
      </c>
      <c r="I265">
        <v>5198805</v>
      </c>
      <c r="J265">
        <v>216988881</v>
      </c>
      <c r="K265">
        <v>3.9598095587873798</v>
      </c>
      <c r="L265">
        <v>20.511087535654799</v>
      </c>
      <c r="M265">
        <v>25.6092485278987</v>
      </c>
      <c r="N265" s="2">
        <f t="shared" si="67"/>
        <v>2.7110963042220595</v>
      </c>
      <c r="O265" s="2">
        <v>0.4758</v>
      </c>
      <c r="P265" s="2">
        <f t="shared" si="68"/>
        <v>19.594017030229644</v>
      </c>
      <c r="Q265" s="2">
        <f t="shared" si="69"/>
        <v>5.1730377714884427E-3</v>
      </c>
      <c r="R265" s="2">
        <f t="shared" si="70"/>
        <v>5.0521942847054704E-2</v>
      </c>
      <c r="S265" s="2">
        <f t="shared" si="71"/>
        <v>0.17589433580524894</v>
      </c>
      <c r="T265" s="2">
        <v>7.4650068557275087E-2</v>
      </c>
      <c r="U265" s="2">
        <v>3.5396280594264098E-2</v>
      </c>
      <c r="V265" s="3">
        <f t="shared" si="66"/>
        <v>2.3958854370975811E-2</v>
      </c>
      <c r="W265">
        <v>22</v>
      </c>
      <c r="X265">
        <f t="shared" si="72"/>
        <v>3.0910424533583161</v>
      </c>
    </row>
    <row r="266" spans="1:24" x14ac:dyDescent="0.45">
      <c r="A266" t="s">
        <v>20</v>
      </c>
      <c r="B266">
        <v>18</v>
      </c>
      <c r="C266">
        <v>2019</v>
      </c>
      <c r="D266">
        <v>365254318</v>
      </c>
      <c r="E266">
        <v>18507443</v>
      </c>
      <c r="F266">
        <v>2417890</v>
      </c>
      <c r="G266">
        <v>1558597</v>
      </c>
      <c r="H266">
        <v>9389036</v>
      </c>
      <c r="I266">
        <v>5055748</v>
      </c>
      <c r="J266">
        <v>265161676</v>
      </c>
      <c r="K266">
        <v>4.0230286341449499</v>
      </c>
      <c r="L266">
        <v>21.918245362198</v>
      </c>
      <c r="M266">
        <v>26.1660509841828</v>
      </c>
      <c r="N266" s="2">
        <f t="shared" si="67"/>
        <v>2.7393282125266452</v>
      </c>
      <c r="O266" s="2">
        <v>0.54600000000000004</v>
      </c>
      <c r="P266" s="2">
        <f t="shared" si="68"/>
        <v>19.716104430564901</v>
      </c>
      <c r="Q266" s="2">
        <f t="shared" si="69"/>
        <v>6.6197437808250634E-3</v>
      </c>
      <c r="R266" s="2">
        <f t="shared" si="70"/>
        <v>5.0670018362383877E-2</v>
      </c>
      <c r="S266" s="2">
        <f t="shared" si="71"/>
        <v>0.16600181317869056</v>
      </c>
      <c r="T266" s="2">
        <v>7.3592627010500566E-2</v>
      </c>
      <c r="U266" s="2">
        <v>2.7958236745225001E-2</v>
      </c>
      <c r="V266" s="3">
        <f t="shared" si="66"/>
        <v>1.9066661805230103E-2</v>
      </c>
      <c r="W266">
        <v>68</v>
      </c>
      <c r="X266">
        <f t="shared" si="72"/>
        <v>4.219507705176107</v>
      </c>
    </row>
    <row r="267" spans="1:24" x14ac:dyDescent="0.45">
      <c r="A267" t="s">
        <v>20</v>
      </c>
      <c r="B267">
        <v>18</v>
      </c>
      <c r="C267">
        <v>2020</v>
      </c>
      <c r="D267">
        <v>412679593</v>
      </c>
      <c r="E267">
        <v>24036220</v>
      </c>
      <c r="F267">
        <v>2607012</v>
      </c>
      <c r="G267">
        <v>2274212</v>
      </c>
      <c r="H267">
        <v>12207411</v>
      </c>
      <c r="I267">
        <v>5598785</v>
      </c>
      <c r="J267">
        <v>305637310</v>
      </c>
      <c r="K267">
        <v>4.0399838659549498</v>
      </c>
      <c r="L267">
        <v>23.747196863397502</v>
      </c>
      <c r="M267">
        <v>26.4783455246633</v>
      </c>
      <c r="N267" s="2">
        <f t="shared" si="67"/>
        <v>2.8588252265391589</v>
      </c>
      <c r="O267" s="2">
        <v>0.45319999999999999</v>
      </c>
      <c r="P267" s="2">
        <f t="shared" si="68"/>
        <v>19.838182045959655</v>
      </c>
      <c r="Q267" s="2">
        <f t="shared" si="69"/>
        <v>6.3172786932548901E-3</v>
      </c>
      <c r="R267" s="2">
        <f t="shared" si="70"/>
        <v>5.824426603037771E-2</v>
      </c>
      <c r="S267" s="2">
        <f t="shared" si="71"/>
        <v>0.18629765148400426</v>
      </c>
      <c r="T267" s="2">
        <v>2.8654132091227212E-2</v>
      </c>
      <c r="U267" s="2">
        <v>3.2209343665251404E-2</v>
      </c>
      <c r="V267" s="3">
        <f t="shared" si="66"/>
        <v>1.8318395093845054E-2</v>
      </c>
      <c r="W267">
        <v>73</v>
      </c>
      <c r="X267">
        <f t="shared" si="72"/>
        <v>4.290459441148391</v>
      </c>
    </row>
    <row r="268" spans="1:24" x14ac:dyDescent="0.45">
      <c r="A268" t="s">
        <v>20</v>
      </c>
      <c r="B268">
        <v>18</v>
      </c>
      <c r="C268">
        <v>2021</v>
      </c>
      <c r="D268">
        <v>506604328</v>
      </c>
      <c r="E268">
        <v>35531665</v>
      </c>
      <c r="F268">
        <v>5007161</v>
      </c>
      <c r="G268">
        <v>2582669</v>
      </c>
      <c r="H268">
        <v>18153018</v>
      </c>
      <c r="I268">
        <v>6112559</v>
      </c>
      <c r="J268">
        <v>362416124</v>
      </c>
      <c r="K268">
        <v>2.9295233226858799</v>
      </c>
      <c r="L268">
        <v>25.554737309897</v>
      </c>
      <c r="M268">
        <v>27.207097804316199</v>
      </c>
      <c r="N268" s="2">
        <f t="shared" si="67"/>
        <v>3.0734914556911566</v>
      </c>
      <c r="P268" s="2">
        <f t="shared" si="68"/>
        <v>20.043240838724728</v>
      </c>
      <c r="Q268" s="2">
        <f t="shared" si="69"/>
        <v>9.8837706731948801E-3</v>
      </c>
      <c r="R268" s="2">
        <f t="shared" si="70"/>
        <v>7.0136915608822042E-2</v>
      </c>
      <c r="S268" s="2">
        <f t="shared" si="71"/>
        <v>0.14227215551706057</v>
      </c>
      <c r="T268" s="2">
        <v>2.5615641067098523E-2</v>
      </c>
      <c r="U268" s="2">
        <v>1.8347155481044399E-2</v>
      </c>
      <c r="V268" s="3">
        <f t="shared" si="66"/>
        <v>1.6866134245175031E-2</v>
      </c>
      <c r="W268">
        <v>95</v>
      </c>
      <c r="X268">
        <f t="shared" si="72"/>
        <v>4.5538768916005408</v>
      </c>
    </row>
    <row r="269" spans="1:24" x14ac:dyDescent="0.45">
      <c r="A269" t="s">
        <v>20</v>
      </c>
      <c r="B269">
        <v>18</v>
      </c>
      <c r="C269">
        <v>2022</v>
      </c>
      <c r="D269">
        <v>550904120</v>
      </c>
      <c r="E269">
        <v>42904471</v>
      </c>
      <c r="F269">
        <v>7728918</v>
      </c>
      <c r="G269">
        <v>1790898</v>
      </c>
      <c r="H269">
        <v>19340982</v>
      </c>
      <c r="I269">
        <v>10852956</v>
      </c>
      <c r="J269">
        <v>385633215</v>
      </c>
      <c r="K269">
        <v>3.0268176838110499</v>
      </c>
      <c r="L269">
        <v>19.886983507523201</v>
      </c>
      <c r="M269">
        <v>27.746488205671799</v>
      </c>
      <c r="N269" s="2">
        <f t="shared" si="67"/>
        <v>3.2120119921184127</v>
      </c>
      <c r="O269" s="2">
        <v>0.45490000000000003</v>
      </c>
      <c r="P269" s="2">
        <f t="shared" si="68"/>
        <v>20.127071341086246</v>
      </c>
      <c r="Q269" s="2">
        <f t="shared" si="69"/>
        <v>1.4029515698666404E-2</v>
      </c>
      <c r="R269" s="2">
        <f t="shared" si="70"/>
        <v>7.7880105525440613E-2</v>
      </c>
      <c r="S269" s="2">
        <f t="shared" si="71"/>
        <v>9.2596022270223927E-2</v>
      </c>
      <c r="T269" s="2">
        <v>8.0197923744283764E-2</v>
      </c>
      <c r="U269" s="2">
        <v>3.1565074996312899E-2</v>
      </c>
      <c r="V269" s="3">
        <f t="shared" si="66"/>
        <v>2.8143208566720583E-2</v>
      </c>
      <c r="W269">
        <v>42</v>
      </c>
      <c r="X269">
        <f t="shared" si="72"/>
        <v>3.7376696182833684</v>
      </c>
    </row>
    <row r="270" spans="1:24" x14ac:dyDescent="0.45">
      <c r="A270" t="s">
        <v>20</v>
      </c>
      <c r="B270">
        <v>18</v>
      </c>
      <c r="C270">
        <v>2023</v>
      </c>
      <c r="D270">
        <v>630500685</v>
      </c>
      <c r="E270">
        <v>50098280</v>
      </c>
      <c r="F270">
        <v>7324758</v>
      </c>
      <c r="G270">
        <v>2043044</v>
      </c>
      <c r="H270">
        <v>21328397</v>
      </c>
      <c r="I270">
        <v>13239219</v>
      </c>
      <c r="J270">
        <v>438464147</v>
      </c>
      <c r="K270">
        <v>3.07187771218757</v>
      </c>
      <c r="L270">
        <v>19.004474740999601</v>
      </c>
      <c r="M270">
        <v>27.341668248477099</v>
      </c>
      <c r="N270" s="2">
        <f t="shared" si="67"/>
        <v>3.2028928947437536</v>
      </c>
      <c r="P270" s="2">
        <f t="shared" si="68"/>
        <v>20.262024799807993</v>
      </c>
      <c r="Q270" s="2">
        <f t="shared" si="69"/>
        <v>1.1617367235691425E-2</v>
      </c>
      <c r="R270" s="2">
        <f t="shared" si="70"/>
        <v>7.9457931120249292E-2</v>
      </c>
      <c r="S270" s="2">
        <f t="shared" si="71"/>
        <v>9.5789852373809437E-2</v>
      </c>
      <c r="T270" s="2">
        <v>5.0499999999999996E-2</v>
      </c>
      <c r="U270" s="2">
        <v>3.2500000000000001E-2</v>
      </c>
      <c r="V270" s="3">
        <f t="shared" si="66"/>
        <v>3.0194530363733482E-2</v>
      </c>
      <c r="W270">
        <v>37</v>
      </c>
      <c r="X270">
        <f t="shared" si="72"/>
        <v>3.6109179126442243</v>
      </c>
    </row>
    <row r="271" spans="1:24" x14ac:dyDescent="0.45">
      <c r="A271" t="s">
        <v>20</v>
      </c>
      <c r="B271">
        <v>18</v>
      </c>
      <c r="C271">
        <v>2024</v>
      </c>
      <c r="D271">
        <v>747478069</v>
      </c>
      <c r="E271">
        <v>58067344</v>
      </c>
      <c r="F271">
        <v>9321949</v>
      </c>
      <c r="G271">
        <v>2340146</v>
      </c>
      <c r="H271">
        <v>23572265</v>
      </c>
      <c r="I271">
        <v>15064714</v>
      </c>
      <c r="J271">
        <v>519949991</v>
      </c>
      <c r="K271">
        <v>3.0966938195511502</v>
      </c>
      <c r="L271">
        <v>27.889422983664101</v>
      </c>
      <c r="M271">
        <v>27.243425052219401</v>
      </c>
      <c r="N271" s="2">
        <f t="shared" si="67"/>
        <v>3.1927427369281554</v>
      </c>
      <c r="P271" s="2">
        <f t="shared" si="68"/>
        <v>20.43221552366828</v>
      </c>
      <c r="Q271" s="2">
        <f t="shared" si="69"/>
        <v>1.247120067679203E-2</v>
      </c>
      <c r="R271" s="2">
        <f t="shared" si="70"/>
        <v>7.7684344742962624E-2</v>
      </c>
      <c r="S271" s="2">
        <f t="shared" si="71"/>
        <v>9.9275398439649304E-2</v>
      </c>
      <c r="T271" s="2">
        <v>7.0900000000000005E-2</v>
      </c>
      <c r="U271" s="2">
        <v>3.6299999999999999E-2</v>
      </c>
      <c r="V271" s="3">
        <f t="shared" si="66"/>
        <v>2.8973390250525075E-2</v>
      </c>
      <c r="W271">
        <v>144</v>
      </c>
      <c r="X271">
        <f t="shared" si="72"/>
        <v>4.9698132995760007</v>
      </c>
    </row>
    <row r="272" spans="1:24" x14ac:dyDescent="0.45">
      <c r="A272" t="s">
        <v>21</v>
      </c>
      <c r="B272">
        <v>19</v>
      </c>
      <c r="C272">
        <v>2010</v>
      </c>
      <c r="D272">
        <v>55241568</v>
      </c>
      <c r="E272">
        <v>5743378</v>
      </c>
      <c r="F272">
        <v>629168</v>
      </c>
      <c r="G272">
        <v>315174</v>
      </c>
      <c r="H272">
        <v>1439494</v>
      </c>
      <c r="J272">
        <v>21727173</v>
      </c>
      <c r="K272">
        <v>3.2718982631890698</v>
      </c>
      <c r="L272">
        <v>9.7075901186610398</v>
      </c>
      <c r="M272">
        <v>17.334389639963199</v>
      </c>
      <c r="N272" s="2">
        <f t="shared" ref="N272:N285" si="73">LN((Q272+R272)/(_xlfn.STDEV.S($Q$272:$Q$286)))</f>
        <v>3.0054124254490313</v>
      </c>
      <c r="P272" s="2">
        <f t="shared" si="68"/>
        <v>17.827226271330609</v>
      </c>
      <c r="Q272" s="2">
        <f t="shared" si="69"/>
        <v>1.1389394305389738E-2</v>
      </c>
      <c r="R272" s="2">
        <f t="shared" si="70"/>
        <v>0.10396841016533057</v>
      </c>
      <c r="S272" s="2">
        <f t="shared" si="71"/>
        <v>0.21894776914665848</v>
      </c>
      <c r="T272" s="2">
        <v>6.4232448223948205E-2</v>
      </c>
      <c r="U272" s="2">
        <v>9.20746648778413E-2</v>
      </c>
      <c r="W272">
        <v>47</v>
      </c>
      <c r="X272">
        <f t="shared" si="72"/>
        <v>3.8501476017100584</v>
      </c>
    </row>
    <row r="273" spans="1:24" x14ac:dyDescent="0.45">
      <c r="A273" t="s">
        <v>21</v>
      </c>
      <c r="B273">
        <v>19</v>
      </c>
      <c r="C273">
        <v>2011</v>
      </c>
      <c r="D273">
        <v>101092589</v>
      </c>
      <c r="E273">
        <v>5536734</v>
      </c>
      <c r="F273">
        <v>126079</v>
      </c>
      <c r="G273">
        <v>0</v>
      </c>
      <c r="H273">
        <v>813718</v>
      </c>
      <c r="J273">
        <v>19641058</v>
      </c>
      <c r="K273">
        <v>3.59352181546691</v>
      </c>
      <c r="L273">
        <v>10.9472107468528</v>
      </c>
      <c r="M273">
        <v>19.912794817213701</v>
      </c>
      <c r="N273" s="2">
        <f t="shared" si="73"/>
        <v>2.2830130085960652</v>
      </c>
      <c r="O273" s="2">
        <v>0.62890000000000001</v>
      </c>
      <c r="P273" s="2">
        <f t="shared" si="68"/>
        <v>18.431547377644112</v>
      </c>
      <c r="Q273" s="2">
        <f t="shared" si="69"/>
        <v>1.2471636273950805E-3</v>
      </c>
      <c r="R273" s="2">
        <f t="shared" si="70"/>
        <v>5.4768940579808474E-2</v>
      </c>
      <c r="S273" s="2">
        <f t="shared" si="71"/>
        <v>0</v>
      </c>
      <c r="T273" s="2">
        <v>6.4131688968168274E-2</v>
      </c>
      <c r="U273" s="2">
        <v>0.18677732277070699</v>
      </c>
      <c r="W273">
        <v>22</v>
      </c>
      <c r="X273">
        <f t="shared" si="72"/>
        <v>3.0910424533583161</v>
      </c>
    </row>
    <row r="274" spans="1:24" x14ac:dyDescent="0.45">
      <c r="A274" t="s">
        <v>21</v>
      </c>
      <c r="B274">
        <v>19</v>
      </c>
      <c r="C274">
        <v>2012</v>
      </c>
      <c r="D274">
        <v>75066716</v>
      </c>
      <c r="E274">
        <v>5582109</v>
      </c>
      <c r="F274">
        <v>52744</v>
      </c>
      <c r="G274">
        <v>10195</v>
      </c>
      <c r="H274">
        <v>1168277</v>
      </c>
      <c r="J274">
        <v>16694447</v>
      </c>
      <c r="K274">
        <v>3.1504539182237998</v>
      </c>
      <c r="L274">
        <v>12.0614890394782</v>
      </c>
      <c r="M274">
        <v>20.9770541106558</v>
      </c>
      <c r="N274" s="2">
        <f t="shared" si="73"/>
        <v>2.575722858460352</v>
      </c>
      <c r="P274" s="2">
        <f t="shared" si="68"/>
        <v>18.133887822755089</v>
      </c>
      <c r="Q274" s="2">
        <f t="shared" si="69"/>
        <v>7.0262831265990107E-4</v>
      </c>
      <c r="R274" s="2">
        <f t="shared" si="70"/>
        <v>7.4361971556075532E-2</v>
      </c>
      <c r="S274" s="2">
        <f t="shared" si="71"/>
        <v>8.7265263289442487E-3</v>
      </c>
      <c r="T274" s="2">
        <v>5.5045447041188994E-2</v>
      </c>
      <c r="U274" s="2">
        <v>9.0947033955719195E-2</v>
      </c>
      <c r="W274">
        <v>13</v>
      </c>
      <c r="X274">
        <f t="shared" si="72"/>
        <v>2.5649493574615367</v>
      </c>
    </row>
    <row r="275" spans="1:24" x14ac:dyDescent="0.45">
      <c r="A275" t="s">
        <v>21</v>
      </c>
      <c r="B275">
        <v>19</v>
      </c>
      <c r="C275">
        <v>2013</v>
      </c>
      <c r="D275">
        <v>79864432</v>
      </c>
      <c r="E275">
        <v>5726372</v>
      </c>
      <c r="F275">
        <v>151697</v>
      </c>
      <c r="G275">
        <v>212677</v>
      </c>
      <c r="H275">
        <v>1074799</v>
      </c>
      <c r="I275">
        <v>1317776</v>
      </c>
      <c r="J275">
        <v>20928780</v>
      </c>
      <c r="K275">
        <v>3.6926464082046402</v>
      </c>
      <c r="L275">
        <v>12.840142796842899</v>
      </c>
      <c r="M275">
        <v>22.1573299611807</v>
      </c>
      <c r="N275" s="2">
        <f t="shared" si="73"/>
        <v>2.5560267724555485</v>
      </c>
      <c r="P275" s="2">
        <f t="shared" si="68"/>
        <v>18.195841155179401</v>
      </c>
      <c r="Q275" s="2">
        <f t="shared" si="69"/>
        <v>1.8994312762407176E-3</v>
      </c>
      <c r="R275" s="2">
        <f t="shared" si="70"/>
        <v>7.1701154776884907E-2</v>
      </c>
      <c r="S275" s="2">
        <f t="shared" si="71"/>
        <v>0.19787606799038704</v>
      </c>
      <c r="T275" s="2">
        <v>5.5535108102607179E-2</v>
      </c>
      <c r="U275" s="2">
        <v>6.5926747589919191E-2</v>
      </c>
      <c r="V275" s="3">
        <f>I275/J275</f>
        <v>6.296477864452682E-2</v>
      </c>
      <c r="W275">
        <v>20</v>
      </c>
      <c r="X275">
        <f t="shared" si="72"/>
        <v>2.9957322735539909</v>
      </c>
    </row>
    <row r="276" spans="1:24" x14ac:dyDescent="0.45">
      <c r="A276" t="s">
        <v>21</v>
      </c>
      <c r="B276">
        <v>19</v>
      </c>
      <c r="C276">
        <v>2014</v>
      </c>
      <c r="D276">
        <v>80183668</v>
      </c>
      <c r="E276">
        <v>5682024</v>
      </c>
      <c r="F276">
        <v>86878</v>
      </c>
      <c r="G276">
        <v>367303</v>
      </c>
      <c r="H276">
        <v>1091528</v>
      </c>
      <c r="J276">
        <v>32066117</v>
      </c>
      <c r="K276">
        <v>3.8792484082456702</v>
      </c>
      <c r="L276">
        <v>14.6258764318214</v>
      </c>
      <c r="M276">
        <v>22.979955992336901</v>
      </c>
      <c r="N276" s="2">
        <f t="shared" si="73"/>
        <v>2.5332909776034347</v>
      </c>
      <c r="P276" s="2">
        <f t="shared" si="68"/>
        <v>18.199830411201365</v>
      </c>
      <c r="Q276" s="2">
        <f t="shared" si="69"/>
        <v>1.0834874752798788E-3</v>
      </c>
      <c r="R276" s="2">
        <f t="shared" si="70"/>
        <v>7.0862610076655508E-2</v>
      </c>
      <c r="S276" s="2">
        <f t="shared" si="71"/>
        <v>0.33650350701035614</v>
      </c>
      <c r="T276" s="2">
        <v>6.4222431211856723E-2</v>
      </c>
      <c r="U276" s="2">
        <v>4.0845544663761703E-2</v>
      </c>
      <c r="W276">
        <v>0</v>
      </c>
      <c r="X276" t="e">
        <f t="shared" si="72"/>
        <v>#NUM!</v>
      </c>
    </row>
    <row r="277" spans="1:24" x14ac:dyDescent="0.45">
      <c r="A277" t="s">
        <v>21</v>
      </c>
      <c r="B277">
        <v>19</v>
      </c>
      <c r="C277">
        <v>2015</v>
      </c>
      <c r="D277">
        <v>84756842</v>
      </c>
      <c r="E277">
        <v>5768861</v>
      </c>
      <c r="F277">
        <v>91885</v>
      </c>
      <c r="G277">
        <v>31337</v>
      </c>
      <c r="H277">
        <v>1177898</v>
      </c>
      <c r="I277">
        <v>1356620</v>
      </c>
      <c r="J277">
        <v>42805631</v>
      </c>
      <c r="K277">
        <v>3.7957611751290998</v>
      </c>
      <c r="L277">
        <v>15.8219673058815</v>
      </c>
      <c r="M277">
        <v>24.006275960852001</v>
      </c>
      <c r="N277" s="2">
        <f t="shared" si="73"/>
        <v>2.4936194877316078</v>
      </c>
      <c r="P277" s="2">
        <f t="shared" si="68"/>
        <v>18.25529703252964</v>
      </c>
      <c r="Q277" s="2">
        <f t="shared" si="69"/>
        <v>1.0841012693700882E-3</v>
      </c>
      <c r="R277" s="2">
        <f t="shared" si="70"/>
        <v>6.8063661456381305E-2</v>
      </c>
      <c r="S277" s="2">
        <f t="shared" si="71"/>
        <v>2.6604171159132623E-2</v>
      </c>
      <c r="T277" s="2">
        <v>6.9871543059861096E-2</v>
      </c>
      <c r="U277" s="2">
        <v>6.3120090517575396E-3</v>
      </c>
      <c r="V277" s="3">
        <f t="shared" ref="V277:V285" si="74">I277/J277</f>
        <v>3.1692559327066105E-2</v>
      </c>
      <c r="W277">
        <v>14</v>
      </c>
      <c r="X277">
        <f t="shared" si="72"/>
        <v>2.6390573296152584</v>
      </c>
    </row>
    <row r="278" spans="1:24" x14ac:dyDescent="0.45">
      <c r="A278" t="s">
        <v>21</v>
      </c>
      <c r="B278">
        <v>19</v>
      </c>
      <c r="C278">
        <v>2016</v>
      </c>
      <c r="D278">
        <v>103364962</v>
      </c>
      <c r="E278">
        <v>5879830</v>
      </c>
      <c r="F278">
        <v>116789</v>
      </c>
      <c r="G278">
        <v>70461</v>
      </c>
      <c r="H278">
        <v>1913493</v>
      </c>
      <c r="I278">
        <v>1749883</v>
      </c>
      <c r="J278">
        <v>58988895</v>
      </c>
      <c r="K278">
        <v>3.8729071718276198</v>
      </c>
      <c r="L278">
        <v>18.127194558590599</v>
      </c>
      <c r="M278">
        <v>24.4994330579914</v>
      </c>
      <c r="N278" s="2">
        <f t="shared" si="73"/>
        <v>2.3180588276105434</v>
      </c>
      <c r="O278" s="2">
        <v>0.5141</v>
      </c>
      <c r="P278" s="2">
        <f t="shared" si="68"/>
        <v>18.453776603812212</v>
      </c>
      <c r="Q278" s="2">
        <f t="shared" si="69"/>
        <v>1.1298702939589915E-3</v>
      </c>
      <c r="R278" s="2">
        <f t="shared" si="70"/>
        <v>5.6884169318419525E-2</v>
      </c>
      <c r="S278" s="2">
        <f t="shared" si="71"/>
        <v>3.6823233740598996E-2</v>
      </c>
      <c r="T278" s="2">
        <v>6.6900089266042351E-2</v>
      </c>
      <c r="U278" s="2">
        <v>2.6682481696908199E-2</v>
      </c>
      <c r="V278" s="3">
        <f t="shared" si="74"/>
        <v>2.9664617382644649E-2</v>
      </c>
      <c r="W278">
        <v>109</v>
      </c>
      <c r="X278">
        <f t="shared" si="72"/>
        <v>4.6913478822291435</v>
      </c>
    </row>
    <row r="279" spans="1:24" x14ac:dyDescent="0.45">
      <c r="A279" t="s">
        <v>21</v>
      </c>
      <c r="B279">
        <v>19</v>
      </c>
      <c r="C279">
        <v>2017</v>
      </c>
      <c r="D279">
        <v>125008960</v>
      </c>
      <c r="E279">
        <v>6174605</v>
      </c>
      <c r="F279">
        <v>304858</v>
      </c>
      <c r="G279">
        <v>223356</v>
      </c>
      <c r="H279">
        <v>2195775</v>
      </c>
      <c r="I279">
        <v>594739</v>
      </c>
      <c r="J279">
        <v>70525510</v>
      </c>
      <c r="K279">
        <v>3.4878659520670099</v>
      </c>
      <c r="L279">
        <v>19.9794949903735</v>
      </c>
      <c r="M279">
        <v>24.408110955118602</v>
      </c>
      <c r="N279" s="2">
        <f t="shared" si="73"/>
        <v>2.2053812848826815</v>
      </c>
      <c r="O279" s="2">
        <v>0.33800000000000002</v>
      </c>
      <c r="P279" s="2">
        <f t="shared" si="68"/>
        <v>18.643895972697688</v>
      </c>
      <c r="Q279" s="2">
        <f t="shared" si="69"/>
        <v>2.4386891947585196E-3</v>
      </c>
      <c r="R279" s="2">
        <f t="shared" si="70"/>
        <v>4.9393299488292679E-2</v>
      </c>
      <c r="S279" s="2">
        <f t="shared" si="71"/>
        <v>0.10172080472726031</v>
      </c>
      <c r="T279" s="2">
        <v>6.9401903735920603E-2</v>
      </c>
      <c r="U279" s="2">
        <v>3.5202568881161703E-2</v>
      </c>
      <c r="V279" s="3">
        <f t="shared" si="74"/>
        <v>8.4329627676566956E-3</v>
      </c>
      <c r="W279">
        <v>17</v>
      </c>
      <c r="X279">
        <f t="shared" si="72"/>
        <v>2.8332133440562162</v>
      </c>
    </row>
    <row r="280" spans="1:24" x14ac:dyDescent="0.45">
      <c r="A280" t="s">
        <v>21</v>
      </c>
      <c r="B280">
        <v>19</v>
      </c>
      <c r="C280">
        <v>2018</v>
      </c>
      <c r="D280">
        <v>140487190</v>
      </c>
      <c r="E280">
        <v>8301505</v>
      </c>
      <c r="F280">
        <v>493346</v>
      </c>
      <c r="G280">
        <v>474568</v>
      </c>
      <c r="H280">
        <v>2811681</v>
      </c>
      <c r="I280">
        <v>1265753</v>
      </c>
      <c r="J280">
        <v>83910159</v>
      </c>
      <c r="K280">
        <v>3.9598095587873798</v>
      </c>
      <c r="L280">
        <v>20.511087535654799</v>
      </c>
      <c r="M280">
        <v>25.6092485278987</v>
      </c>
      <c r="N280" s="2">
        <f t="shared" si="73"/>
        <v>2.3941791894182911</v>
      </c>
      <c r="O280" s="2">
        <v>0.32590000000000002</v>
      </c>
      <c r="P280" s="2">
        <f t="shared" si="68"/>
        <v>18.760626868204213</v>
      </c>
      <c r="Q280" s="2">
        <f t="shared" si="69"/>
        <v>3.5116796058060526E-3</v>
      </c>
      <c r="R280" s="2">
        <f t="shared" si="70"/>
        <v>5.9090832409702268E-2</v>
      </c>
      <c r="S280" s="2">
        <f t="shared" si="71"/>
        <v>0.16878443891750167</v>
      </c>
      <c r="T280" s="2">
        <v>7.4650068557275087E-2</v>
      </c>
      <c r="U280" s="2">
        <v>3.5396280594264098E-2</v>
      </c>
      <c r="V280" s="3">
        <f t="shared" si="74"/>
        <v>1.5084621636815156E-2</v>
      </c>
      <c r="W280">
        <v>24</v>
      </c>
      <c r="X280">
        <f t="shared" si="72"/>
        <v>3.1780538303479458</v>
      </c>
    </row>
    <row r="281" spans="1:24" x14ac:dyDescent="0.45">
      <c r="A281" t="s">
        <v>21</v>
      </c>
      <c r="B281">
        <v>19</v>
      </c>
      <c r="C281">
        <v>2019</v>
      </c>
      <c r="D281">
        <v>157398288</v>
      </c>
      <c r="E281">
        <v>10925842</v>
      </c>
      <c r="F281">
        <v>1098452</v>
      </c>
      <c r="G281">
        <v>2316244</v>
      </c>
      <c r="H281">
        <v>5210813</v>
      </c>
      <c r="I281">
        <v>2280009</v>
      </c>
      <c r="J281">
        <v>98613839</v>
      </c>
      <c r="K281">
        <v>4.0230286341449499</v>
      </c>
      <c r="L281">
        <v>21.918245362198</v>
      </c>
      <c r="M281">
        <v>26.1660509841828</v>
      </c>
      <c r="N281" s="2">
        <f t="shared" si="73"/>
        <v>2.5932787071287646</v>
      </c>
      <c r="O281" s="2">
        <v>0.4582</v>
      </c>
      <c r="P281" s="2">
        <f t="shared" si="68"/>
        <v>18.874290017141284</v>
      </c>
      <c r="Q281" s="2">
        <f t="shared" si="69"/>
        <v>6.9788052586696493E-3</v>
      </c>
      <c r="R281" s="2">
        <f t="shared" si="70"/>
        <v>6.9415253106183725E-2</v>
      </c>
      <c r="S281" s="2">
        <f t="shared" si="71"/>
        <v>0.44450721989063896</v>
      </c>
      <c r="T281" s="2">
        <v>7.3592627010500566E-2</v>
      </c>
      <c r="U281" s="2">
        <v>2.7958236745225001E-2</v>
      </c>
      <c r="V281" s="3">
        <f t="shared" si="74"/>
        <v>2.3120578441328098E-2</v>
      </c>
      <c r="W281">
        <v>62</v>
      </c>
      <c r="X281">
        <f t="shared" si="72"/>
        <v>4.1271343850450917</v>
      </c>
    </row>
    <row r="282" spans="1:24" x14ac:dyDescent="0.45">
      <c r="A282" t="s">
        <v>21</v>
      </c>
      <c r="B282">
        <v>19</v>
      </c>
      <c r="C282">
        <v>2020</v>
      </c>
      <c r="D282">
        <v>180207288</v>
      </c>
      <c r="E282">
        <v>13670378</v>
      </c>
      <c r="F282">
        <v>1360465</v>
      </c>
      <c r="G282">
        <v>1521971</v>
      </c>
      <c r="H282">
        <v>4583687</v>
      </c>
      <c r="I282">
        <v>2022473</v>
      </c>
      <c r="J282">
        <v>108869236</v>
      </c>
      <c r="K282">
        <v>4.0399838659549498</v>
      </c>
      <c r="L282">
        <v>23.747196863397502</v>
      </c>
      <c r="M282">
        <v>26.4783455246633</v>
      </c>
      <c r="N282" s="2">
        <f t="shared" si="73"/>
        <v>2.6811255647650225</v>
      </c>
      <c r="O282" s="2">
        <v>0.5786</v>
      </c>
      <c r="P282" s="2">
        <f t="shared" si="68"/>
        <v>19.009618346271843</v>
      </c>
      <c r="Q282" s="2">
        <f t="shared" si="69"/>
        <v>7.5494449480866723E-3</v>
      </c>
      <c r="R282" s="2">
        <f t="shared" si="70"/>
        <v>7.585918500699039E-2</v>
      </c>
      <c r="S282" s="2">
        <f t="shared" si="71"/>
        <v>0.33204077852610792</v>
      </c>
      <c r="T282" s="2">
        <v>2.8654132091227212E-2</v>
      </c>
      <c r="U282" s="2">
        <v>3.2209343665251404E-2</v>
      </c>
      <c r="V282" s="3">
        <f t="shared" si="74"/>
        <v>1.8577084531023989E-2</v>
      </c>
      <c r="W282">
        <v>47</v>
      </c>
      <c r="X282">
        <f t="shared" si="72"/>
        <v>3.8501476017100584</v>
      </c>
    </row>
    <row r="283" spans="1:24" x14ac:dyDescent="0.45">
      <c r="A283" t="s">
        <v>21</v>
      </c>
      <c r="B283">
        <v>19</v>
      </c>
      <c r="C283">
        <v>2021</v>
      </c>
      <c r="D283">
        <v>211663515</v>
      </c>
      <c r="E283">
        <v>18663264</v>
      </c>
      <c r="F283">
        <v>2606518</v>
      </c>
      <c r="G283">
        <v>1849697</v>
      </c>
      <c r="H283">
        <v>7035790</v>
      </c>
      <c r="I283">
        <v>2104609</v>
      </c>
      <c r="J283">
        <v>127588159</v>
      </c>
      <c r="K283">
        <v>2.9295233226858799</v>
      </c>
      <c r="L283">
        <v>25.554737309897</v>
      </c>
      <c r="M283">
        <v>27.207097804316199</v>
      </c>
      <c r="N283" s="2">
        <f t="shared" si="73"/>
        <v>2.8674186226886484</v>
      </c>
      <c r="P283" s="2">
        <f t="shared" si="68"/>
        <v>19.170508378314224</v>
      </c>
      <c r="Q283" s="2">
        <f t="shared" si="69"/>
        <v>1.2314441626843435E-2</v>
      </c>
      <c r="R283" s="2">
        <f t="shared" si="70"/>
        <v>8.8174213680614719E-2</v>
      </c>
      <c r="S283" s="2">
        <f t="shared" si="71"/>
        <v>0.26289826728768195</v>
      </c>
      <c r="T283" s="2">
        <v>2.5615641067098523E-2</v>
      </c>
      <c r="U283" s="2">
        <v>1.8347155481044399E-2</v>
      </c>
      <c r="V283" s="3">
        <f t="shared" si="74"/>
        <v>1.6495331671021289E-2</v>
      </c>
      <c r="W283">
        <v>100</v>
      </c>
      <c r="X283">
        <f t="shared" si="72"/>
        <v>4.6051701859880918</v>
      </c>
    </row>
    <row r="284" spans="1:24" x14ac:dyDescent="0.45">
      <c r="A284" t="s">
        <v>21</v>
      </c>
      <c r="B284">
        <v>19</v>
      </c>
      <c r="C284">
        <v>2022</v>
      </c>
      <c r="D284">
        <v>231423056</v>
      </c>
      <c r="E284">
        <v>26232220</v>
      </c>
      <c r="F284">
        <v>4052928</v>
      </c>
      <c r="G284">
        <v>2641320</v>
      </c>
      <c r="H284">
        <v>9647247</v>
      </c>
      <c r="I284">
        <v>2460105</v>
      </c>
      <c r="J284">
        <v>153955992</v>
      </c>
      <c r="K284">
        <v>3.0268176838110499</v>
      </c>
      <c r="L284">
        <v>19.886983507523201</v>
      </c>
      <c r="M284">
        <v>27.746488205671799</v>
      </c>
      <c r="N284" s="2">
        <f t="shared" si="73"/>
        <v>3.1315390435965376</v>
      </c>
      <c r="O284" s="2">
        <v>0.42509999999999998</v>
      </c>
      <c r="P284" s="2">
        <f t="shared" si="68"/>
        <v>19.259758004752637</v>
      </c>
      <c r="Q284" s="2">
        <f t="shared" si="69"/>
        <v>1.751306922504731E-2</v>
      </c>
      <c r="R284" s="2">
        <f t="shared" si="70"/>
        <v>0.11335180017672915</v>
      </c>
      <c r="S284" s="2">
        <f t="shared" si="71"/>
        <v>0.27379002527871421</v>
      </c>
      <c r="T284" s="2">
        <v>8.0197923744283764E-2</v>
      </c>
      <c r="U284" s="2">
        <v>3.1565074996312899E-2</v>
      </c>
      <c r="V284" s="3">
        <f t="shared" si="74"/>
        <v>1.5979274129194011E-2</v>
      </c>
      <c r="W284">
        <v>121</v>
      </c>
      <c r="X284">
        <f t="shared" si="72"/>
        <v>4.7957905455967413</v>
      </c>
    </row>
    <row r="285" spans="1:24" x14ac:dyDescent="0.45">
      <c r="A285" t="s">
        <v>21</v>
      </c>
      <c r="B285">
        <v>19</v>
      </c>
      <c r="C285">
        <v>2023</v>
      </c>
      <c r="D285">
        <v>266121915</v>
      </c>
      <c r="E285">
        <v>30296839</v>
      </c>
      <c r="F285">
        <v>3676955</v>
      </c>
      <c r="G285">
        <v>2353272</v>
      </c>
      <c r="H285">
        <v>9423991</v>
      </c>
      <c r="I285">
        <v>3482997</v>
      </c>
      <c r="J285">
        <v>179751893</v>
      </c>
      <c r="K285">
        <v>3.07187771218757</v>
      </c>
      <c r="L285">
        <v>19.004474740999601</v>
      </c>
      <c r="M285">
        <v>27.341668248477099</v>
      </c>
      <c r="N285" s="2">
        <f t="shared" si="73"/>
        <v>3.1067639949250636</v>
      </c>
      <c r="P285" s="2">
        <f t="shared" si="68"/>
        <v>19.399465088813873</v>
      </c>
      <c r="Q285" s="2">
        <f t="shared" si="69"/>
        <v>1.3816806481345213E-2</v>
      </c>
      <c r="R285" s="2">
        <f t="shared" si="70"/>
        <v>0.1138457124059099</v>
      </c>
      <c r="S285" s="2">
        <f t="shared" si="71"/>
        <v>0.24971076479168963</v>
      </c>
      <c r="T285" s="2">
        <v>5.0499999999999996E-2</v>
      </c>
      <c r="U285" s="2">
        <v>3.2500000000000001E-2</v>
      </c>
      <c r="V285" s="3">
        <f t="shared" si="74"/>
        <v>1.9376691626830322E-2</v>
      </c>
      <c r="W285">
        <v>79</v>
      </c>
      <c r="X285">
        <f t="shared" si="72"/>
        <v>4.3694478524670215</v>
      </c>
    </row>
    <row r="286" spans="1:24" x14ac:dyDescent="0.45">
      <c r="A286" t="s">
        <v>21</v>
      </c>
      <c r="B286">
        <v>19</v>
      </c>
      <c r="C286">
        <v>2024</v>
      </c>
      <c r="K286">
        <v>3.0966938195511502</v>
      </c>
      <c r="L286">
        <v>27.889422983664101</v>
      </c>
      <c r="M286">
        <v>27.243425052219401</v>
      </c>
      <c r="T286" s="2">
        <v>7.0900000000000005E-2</v>
      </c>
      <c r="U286" s="2">
        <v>3.6299999999999999E-2</v>
      </c>
      <c r="W286">
        <v>71</v>
      </c>
      <c r="X286">
        <f t="shared" si="72"/>
        <v>4.2626798770413155</v>
      </c>
    </row>
    <row r="287" spans="1:24" x14ac:dyDescent="0.45">
      <c r="A287" t="s">
        <v>22</v>
      </c>
      <c r="B287">
        <v>20</v>
      </c>
      <c r="C287">
        <v>2010</v>
      </c>
      <c r="D287">
        <v>152386936</v>
      </c>
      <c r="E287">
        <v>14694975</v>
      </c>
      <c r="F287">
        <v>1910340</v>
      </c>
      <c r="G287">
        <v>1165456</v>
      </c>
      <c r="H287">
        <v>5056007</v>
      </c>
      <c r="I287">
        <v>444520</v>
      </c>
      <c r="J287">
        <v>82484803</v>
      </c>
      <c r="K287">
        <v>3.2718982631890698</v>
      </c>
      <c r="L287">
        <v>9.7075901186610398</v>
      </c>
      <c r="M287">
        <v>17.334389639963199</v>
      </c>
      <c r="N287" s="2">
        <f t="shared" ref="N287:N301" si="75">LN((Q287+R287)/(_xlfn.STDEV.S($Q$287:$Q$301)))</f>
        <v>3.169742746408684</v>
      </c>
      <c r="P287" s="2">
        <f t="shared" ref="P287:P318" si="76">LN(D287)</f>
        <v>18.84193347575772</v>
      </c>
      <c r="Q287" s="2">
        <f t="shared" ref="Q287:Q318" si="77">F287/D287</f>
        <v>1.2536113988143971E-2</v>
      </c>
      <c r="R287" s="2">
        <f t="shared" ref="R287:R318" si="78">E287/D287</f>
        <v>9.6431986794458552E-2</v>
      </c>
      <c r="S287" s="2">
        <f t="shared" ref="S287:S318" si="79">G287/H287</f>
        <v>0.23050917453239286</v>
      </c>
      <c r="T287" s="2">
        <v>6.4232448223948205E-2</v>
      </c>
      <c r="U287" s="2">
        <v>9.20746648778413E-2</v>
      </c>
      <c r="V287" s="3">
        <f t="shared" ref="V287:V301" si="80">I287/J287</f>
        <v>5.3891139195664925E-3</v>
      </c>
      <c r="W287">
        <v>5</v>
      </c>
      <c r="X287">
        <f t="shared" si="72"/>
        <v>1.6094379124341003</v>
      </c>
    </row>
    <row r="288" spans="1:24" x14ac:dyDescent="0.45">
      <c r="A288" t="s">
        <v>22</v>
      </c>
      <c r="B288">
        <v>20</v>
      </c>
      <c r="C288">
        <v>2011</v>
      </c>
      <c r="D288">
        <v>141468717</v>
      </c>
      <c r="E288">
        <v>14546883</v>
      </c>
      <c r="F288">
        <v>1995857</v>
      </c>
      <c r="G288">
        <v>912540</v>
      </c>
      <c r="H288">
        <v>6754767</v>
      </c>
      <c r="I288">
        <v>463227</v>
      </c>
      <c r="J288">
        <v>80539487</v>
      </c>
      <c r="K288">
        <v>3.59352181546691</v>
      </c>
      <c r="L288">
        <v>10.9472107468528</v>
      </c>
      <c r="M288">
        <v>19.912794817213701</v>
      </c>
      <c r="N288" s="2">
        <f t="shared" si="75"/>
        <v>3.2403115628785817</v>
      </c>
      <c r="P288" s="2">
        <f t="shared" si="76"/>
        <v>18.767589169333416</v>
      </c>
      <c r="Q288" s="2">
        <f t="shared" si="77"/>
        <v>1.4108115506554005E-2</v>
      </c>
      <c r="R288" s="2">
        <f t="shared" si="78"/>
        <v>0.1028275601029166</v>
      </c>
      <c r="S288" s="2">
        <f t="shared" si="79"/>
        <v>0.13509570352315631</v>
      </c>
      <c r="T288" s="2">
        <v>6.4131688968168274E-2</v>
      </c>
      <c r="U288" s="2">
        <v>0.18677732277070699</v>
      </c>
      <c r="V288" s="3">
        <f t="shared" si="80"/>
        <v>5.7515514098072165E-3</v>
      </c>
      <c r="W288">
        <v>13</v>
      </c>
      <c r="X288">
        <f t="shared" si="72"/>
        <v>2.5649493574615367</v>
      </c>
    </row>
    <row r="289" spans="1:24" x14ac:dyDescent="0.45">
      <c r="A289" t="s">
        <v>22</v>
      </c>
      <c r="B289">
        <v>20</v>
      </c>
      <c r="C289">
        <v>2012</v>
      </c>
      <c r="D289">
        <v>152118525</v>
      </c>
      <c r="E289">
        <v>13698750</v>
      </c>
      <c r="F289">
        <v>1002370</v>
      </c>
      <c r="G289">
        <v>356173</v>
      </c>
      <c r="H289">
        <v>6853352</v>
      </c>
      <c r="I289">
        <v>1973074</v>
      </c>
      <c r="J289">
        <v>96334439</v>
      </c>
      <c r="K289">
        <v>3.1504539182237998</v>
      </c>
      <c r="L289">
        <v>12.0614890394782</v>
      </c>
      <c r="M289">
        <v>20.9770541106558</v>
      </c>
      <c r="N289" s="2">
        <f t="shared" si="75"/>
        <v>3.0497065340015364</v>
      </c>
      <c r="O289" s="2">
        <v>0.54369999999999996</v>
      </c>
      <c r="P289" s="2">
        <f t="shared" si="76"/>
        <v>18.840170544684923</v>
      </c>
      <c r="Q289" s="2">
        <f t="shared" si="77"/>
        <v>6.5894012579993137E-3</v>
      </c>
      <c r="R289" s="2">
        <f t="shared" si="78"/>
        <v>9.0053134554124822E-2</v>
      </c>
      <c r="S289" s="2">
        <f t="shared" si="79"/>
        <v>5.1970626928253501E-2</v>
      </c>
      <c r="T289" s="2">
        <v>5.5045447041188994E-2</v>
      </c>
      <c r="U289" s="2">
        <v>9.0947033955719195E-2</v>
      </c>
      <c r="V289" s="3">
        <f t="shared" si="80"/>
        <v>2.0481501947605674E-2</v>
      </c>
      <c r="W289">
        <v>13</v>
      </c>
      <c r="X289">
        <f t="shared" si="72"/>
        <v>2.5649493574615367</v>
      </c>
    </row>
    <row r="290" spans="1:24" x14ac:dyDescent="0.45">
      <c r="A290" t="s">
        <v>22</v>
      </c>
      <c r="B290">
        <v>20</v>
      </c>
      <c r="C290">
        <v>2013</v>
      </c>
      <c r="D290">
        <v>161377613</v>
      </c>
      <c r="E290">
        <v>17063726</v>
      </c>
      <c r="F290">
        <v>2229106</v>
      </c>
      <c r="G290">
        <v>973870</v>
      </c>
      <c r="H290">
        <v>7601307</v>
      </c>
      <c r="I290">
        <v>1609953</v>
      </c>
      <c r="J290">
        <v>110565799</v>
      </c>
      <c r="K290">
        <v>3.6926464082046402</v>
      </c>
      <c r="L290">
        <v>12.840142796842899</v>
      </c>
      <c r="M290">
        <v>22.1573299611807</v>
      </c>
      <c r="N290" s="2">
        <f t="shared" si="75"/>
        <v>3.2624294261902196</v>
      </c>
      <c r="O290" s="2">
        <v>0.52490000000000003</v>
      </c>
      <c r="P290" s="2">
        <f t="shared" si="76"/>
        <v>18.899257599099137</v>
      </c>
      <c r="Q290" s="2">
        <f t="shared" si="77"/>
        <v>1.3812981606067008E-2</v>
      </c>
      <c r="R290" s="2">
        <f t="shared" si="78"/>
        <v>0.1057378757981753</v>
      </c>
      <c r="S290" s="2">
        <f t="shared" si="79"/>
        <v>0.12811875641912635</v>
      </c>
      <c r="T290" s="2">
        <v>5.5535108102607179E-2</v>
      </c>
      <c r="U290" s="2">
        <v>6.5926747589919191E-2</v>
      </c>
      <c r="V290" s="3">
        <f t="shared" si="80"/>
        <v>1.456103980219055E-2</v>
      </c>
      <c r="W290">
        <v>0</v>
      </c>
      <c r="X290" t="e">
        <f t="shared" si="72"/>
        <v>#NUM!</v>
      </c>
    </row>
    <row r="291" spans="1:24" x14ac:dyDescent="0.45">
      <c r="A291" t="s">
        <v>22</v>
      </c>
      <c r="B291">
        <v>20</v>
      </c>
      <c r="C291">
        <v>2014</v>
      </c>
      <c r="D291">
        <v>189802627</v>
      </c>
      <c r="E291">
        <v>18063201</v>
      </c>
      <c r="F291">
        <v>2206432</v>
      </c>
      <c r="G291">
        <v>1684830</v>
      </c>
      <c r="H291">
        <v>8249488</v>
      </c>
      <c r="I291">
        <v>1522509</v>
      </c>
      <c r="J291">
        <v>128015011</v>
      </c>
      <c r="K291">
        <v>3.8792484082456702</v>
      </c>
      <c r="L291">
        <v>14.6258764318214</v>
      </c>
      <c r="M291">
        <v>22.979955992336901</v>
      </c>
      <c r="N291" s="2">
        <f t="shared" si="75"/>
        <v>3.1495819671237251</v>
      </c>
      <c r="O291" s="2">
        <v>0.51580000000000004</v>
      </c>
      <c r="P291" s="2">
        <f t="shared" si="76"/>
        <v>19.06149528492946</v>
      </c>
      <c r="Q291" s="2">
        <f t="shared" si="77"/>
        <v>1.1624875982354028E-2</v>
      </c>
      <c r="R291" s="2">
        <f t="shared" si="78"/>
        <v>9.5168340320179026E-2</v>
      </c>
      <c r="S291" s="2">
        <f t="shared" si="79"/>
        <v>0.20423449309823835</v>
      </c>
      <c r="T291" s="2">
        <v>6.4222431211856723E-2</v>
      </c>
      <c r="U291" s="2">
        <v>4.0845544663761703E-2</v>
      </c>
      <c r="V291" s="3">
        <f t="shared" si="80"/>
        <v>1.189320680525505E-2</v>
      </c>
      <c r="W291">
        <v>40</v>
      </c>
      <c r="X291">
        <f t="shared" si="72"/>
        <v>3.6888794541139363</v>
      </c>
    </row>
    <row r="292" spans="1:24" x14ac:dyDescent="0.45">
      <c r="A292" t="s">
        <v>22</v>
      </c>
      <c r="B292">
        <v>20</v>
      </c>
      <c r="C292">
        <v>2015</v>
      </c>
      <c r="D292">
        <v>292032736</v>
      </c>
      <c r="E292">
        <v>22080495</v>
      </c>
      <c r="F292">
        <v>647919</v>
      </c>
      <c r="G292">
        <v>1713609</v>
      </c>
      <c r="H292">
        <v>8288716</v>
      </c>
      <c r="I292">
        <v>10778413</v>
      </c>
      <c r="J292">
        <v>185916813</v>
      </c>
      <c r="K292">
        <v>3.7957611751290998</v>
      </c>
      <c r="L292">
        <v>15.8219673058815</v>
      </c>
      <c r="M292">
        <v>24.006275960852001</v>
      </c>
      <c r="N292" s="2">
        <f t="shared" si="75"/>
        <v>2.8331927935932333</v>
      </c>
      <c r="O292" s="2">
        <v>0.57230000000000003</v>
      </c>
      <c r="P292" s="2">
        <f t="shared" si="76"/>
        <v>19.492376463537788</v>
      </c>
      <c r="Q292" s="2">
        <f t="shared" si="77"/>
        <v>2.2186519527728561E-3</v>
      </c>
      <c r="R292" s="2">
        <f t="shared" si="78"/>
        <v>7.5609656994070698E-2</v>
      </c>
      <c r="S292" s="2">
        <f t="shared" si="79"/>
        <v>0.20673998240499494</v>
      </c>
      <c r="T292" s="2">
        <v>6.9871543059861096E-2</v>
      </c>
      <c r="U292" s="2">
        <v>6.3120090517575396E-3</v>
      </c>
      <c r="V292" s="3">
        <f t="shared" si="80"/>
        <v>5.7974385565656185E-2</v>
      </c>
      <c r="W292">
        <v>53</v>
      </c>
      <c r="X292">
        <f t="shared" si="72"/>
        <v>3.970291913552122</v>
      </c>
    </row>
    <row r="293" spans="1:24" x14ac:dyDescent="0.45">
      <c r="A293" t="s">
        <v>22</v>
      </c>
      <c r="B293">
        <v>20</v>
      </c>
      <c r="C293">
        <v>2016</v>
      </c>
      <c r="D293">
        <v>332023043</v>
      </c>
      <c r="E293">
        <v>22191934</v>
      </c>
      <c r="F293">
        <v>88609</v>
      </c>
      <c r="G293">
        <v>2509460</v>
      </c>
      <c r="H293">
        <v>6530157</v>
      </c>
      <c r="I293">
        <v>13745344</v>
      </c>
      <c r="J293">
        <v>198859665</v>
      </c>
      <c r="K293">
        <v>3.8729071718276198</v>
      </c>
      <c r="L293">
        <v>18.127194558590599</v>
      </c>
      <c r="M293">
        <v>24.4994330579914</v>
      </c>
      <c r="N293" s="2">
        <f t="shared" si="75"/>
        <v>2.6849522526250369</v>
      </c>
      <c r="O293" s="2">
        <v>0.32790000000000002</v>
      </c>
      <c r="P293" s="2">
        <f t="shared" si="76"/>
        <v>19.620714931098739</v>
      </c>
      <c r="Q293" s="2">
        <f t="shared" si="77"/>
        <v>2.6687605534655615E-4</v>
      </c>
      <c r="R293" s="2">
        <f t="shared" si="78"/>
        <v>6.6838535661514306E-2</v>
      </c>
      <c r="S293" s="2">
        <f t="shared" si="79"/>
        <v>0.38428785096591095</v>
      </c>
      <c r="T293" s="2">
        <v>6.6900089266042351E-2</v>
      </c>
      <c r="U293" s="2">
        <v>2.6682481696908199E-2</v>
      </c>
      <c r="V293" s="3">
        <f t="shared" si="80"/>
        <v>6.9120824476899323E-2</v>
      </c>
      <c r="W293">
        <v>43</v>
      </c>
      <c r="X293">
        <f t="shared" si="72"/>
        <v>3.7612001156935624</v>
      </c>
    </row>
    <row r="294" spans="1:24" x14ac:dyDescent="0.45">
      <c r="A294" t="s">
        <v>22</v>
      </c>
      <c r="B294">
        <v>20</v>
      </c>
      <c r="C294">
        <v>2017</v>
      </c>
      <c r="D294">
        <v>368468840</v>
      </c>
      <c r="E294">
        <v>23236292</v>
      </c>
      <c r="F294">
        <v>1181560</v>
      </c>
      <c r="G294">
        <v>3367251</v>
      </c>
      <c r="H294">
        <v>8645286</v>
      </c>
      <c r="I294">
        <v>10404688</v>
      </c>
      <c r="J294">
        <v>222946630</v>
      </c>
      <c r="K294">
        <v>3.4878659520670099</v>
      </c>
      <c r="L294">
        <v>19.9794949903735</v>
      </c>
      <c r="M294">
        <v>24.408110955118602</v>
      </c>
      <c r="N294" s="2">
        <f t="shared" si="75"/>
        <v>2.6724011944584714</v>
      </c>
      <c r="O294" s="2">
        <v>0.4083</v>
      </c>
      <c r="P294" s="2">
        <f t="shared" si="76"/>
        <v>19.724866706995282</v>
      </c>
      <c r="Q294" s="2">
        <f t="shared" si="77"/>
        <v>3.2066754952739017E-3</v>
      </c>
      <c r="R294" s="2">
        <f t="shared" si="78"/>
        <v>6.3061755778317644E-2</v>
      </c>
      <c r="S294" s="2">
        <f t="shared" si="79"/>
        <v>0.38948983295636491</v>
      </c>
      <c r="T294" s="2">
        <v>6.9401903735920603E-2</v>
      </c>
      <c r="U294" s="2">
        <v>3.5202568881161703E-2</v>
      </c>
      <c r="V294" s="3">
        <f t="shared" si="80"/>
        <v>4.6668962881385556E-2</v>
      </c>
      <c r="W294">
        <v>40</v>
      </c>
      <c r="X294">
        <f t="shared" si="72"/>
        <v>3.6888794541139363</v>
      </c>
    </row>
    <row r="295" spans="1:24" x14ac:dyDescent="0.45">
      <c r="A295" t="s">
        <v>22</v>
      </c>
      <c r="B295">
        <v>20</v>
      </c>
      <c r="C295">
        <v>2018</v>
      </c>
      <c r="D295">
        <v>406040598</v>
      </c>
      <c r="E295">
        <v>24632367</v>
      </c>
      <c r="F295">
        <v>1790156</v>
      </c>
      <c r="G295">
        <v>4043141</v>
      </c>
      <c r="H295">
        <v>11676935</v>
      </c>
      <c r="I295">
        <v>5462505</v>
      </c>
      <c r="J295">
        <v>256622753</v>
      </c>
      <c r="K295">
        <v>3.9598095587873798</v>
      </c>
      <c r="L295">
        <v>20.511087535654799</v>
      </c>
      <c r="M295">
        <v>25.6092485278987</v>
      </c>
      <c r="N295" s="2">
        <f t="shared" si="75"/>
        <v>2.6542064800584306</v>
      </c>
      <c r="O295" s="2">
        <v>0.37159999999999999</v>
      </c>
      <c r="P295" s="2">
        <f t="shared" si="76"/>
        <v>19.821963707640723</v>
      </c>
      <c r="Q295" s="2">
        <f t="shared" si="77"/>
        <v>4.4088103722081506E-3</v>
      </c>
      <c r="R295" s="2">
        <f t="shared" si="78"/>
        <v>6.06647884997943E-2</v>
      </c>
      <c r="S295" s="2">
        <f t="shared" si="79"/>
        <v>0.34625019322279349</v>
      </c>
      <c r="T295" s="2">
        <v>7.4650068557275087E-2</v>
      </c>
      <c r="U295" s="2">
        <v>3.5396280594264098E-2</v>
      </c>
      <c r="V295" s="3">
        <f t="shared" si="80"/>
        <v>2.128612890377651E-2</v>
      </c>
      <c r="W295">
        <v>58</v>
      </c>
      <c r="X295">
        <f t="shared" si="72"/>
        <v>4.0604430105464191</v>
      </c>
    </row>
    <row r="296" spans="1:24" x14ac:dyDescent="0.45">
      <c r="A296" t="s">
        <v>22</v>
      </c>
      <c r="B296">
        <v>20</v>
      </c>
      <c r="C296">
        <v>2019</v>
      </c>
      <c r="D296">
        <v>453581057</v>
      </c>
      <c r="E296">
        <v>26741640</v>
      </c>
      <c r="F296">
        <v>2454864</v>
      </c>
      <c r="G296">
        <v>5454650</v>
      </c>
      <c r="H296">
        <v>14635338</v>
      </c>
      <c r="I296">
        <v>5733326</v>
      </c>
      <c r="J296">
        <v>296029774</v>
      </c>
      <c r="K296">
        <v>4.0230286341449499</v>
      </c>
      <c r="L296">
        <v>21.918245362198</v>
      </c>
      <c r="M296">
        <v>26.1660509841828</v>
      </c>
      <c r="N296" s="2">
        <f t="shared" si="75"/>
        <v>2.6433178253650933</v>
      </c>
      <c r="O296" s="2">
        <v>0.47539999999999999</v>
      </c>
      <c r="P296" s="2">
        <f t="shared" si="76"/>
        <v>19.932684548041937</v>
      </c>
      <c r="Q296" s="2">
        <f t="shared" si="77"/>
        <v>5.4121836926712746E-3</v>
      </c>
      <c r="R296" s="2">
        <f t="shared" si="78"/>
        <v>5.89566949221162E-2</v>
      </c>
      <c r="S296" s="2">
        <f t="shared" si="79"/>
        <v>0.37270406737446038</v>
      </c>
      <c r="T296" s="2">
        <v>7.3592627010500566E-2</v>
      </c>
      <c r="U296" s="2">
        <v>2.7958236745225001E-2</v>
      </c>
      <c r="V296" s="3">
        <f t="shared" si="80"/>
        <v>1.9367396470059122E-2</v>
      </c>
      <c r="W296">
        <v>51</v>
      </c>
      <c r="X296">
        <f t="shared" si="72"/>
        <v>3.9318256327243257</v>
      </c>
    </row>
    <row r="297" spans="1:24" x14ac:dyDescent="0.45">
      <c r="A297" t="s">
        <v>22</v>
      </c>
      <c r="B297">
        <v>20</v>
      </c>
      <c r="C297">
        <v>2020</v>
      </c>
      <c r="D297">
        <v>492516029</v>
      </c>
      <c r="E297">
        <v>28956242</v>
      </c>
      <c r="F297">
        <v>2681981</v>
      </c>
      <c r="G297">
        <v>5744315</v>
      </c>
      <c r="H297">
        <v>17270869</v>
      </c>
      <c r="I297">
        <v>5780259</v>
      </c>
      <c r="J297">
        <v>340268127</v>
      </c>
      <c r="K297">
        <v>4.0399838659549498</v>
      </c>
      <c r="L297">
        <v>23.747196863397502</v>
      </c>
      <c r="M297">
        <v>26.4783455246633</v>
      </c>
      <c r="N297" s="2">
        <f t="shared" si="75"/>
        <v>2.6412818113257748</v>
      </c>
      <c r="O297" s="2">
        <v>0.51700000000000002</v>
      </c>
      <c r="P297" s="2">
        <f t="shared" si="76"/>
        <v>20.015037564239694</v>
      </c>
      <c r="Q297" s="2">
        <f t="shared" si="77"/>
        <v>5.4454694712078094E-3</v>
      </c>
      <c r="R297" s="2">
        <f t="shared" si="78"/>
        <v>5.8792486528392765E-2</v>
      </c>
      <c r="S297" s="2">
        <f t="shared" si="79"/>
        <v>0.33260138792089733</v>
      </c>
      <c r="T297" s="2">
        <v>2.8654132091227212E-2</v>
      </c>
      <c r="U297" s="2">
        <v>3.2209343665251404E-2</v>
      </c>
      <c r="V297" s="3">
        <f t="shared" si="80"/>
        <v>1.6987365378479894E-2</v>
      </c>
      <c r="W297">
        <v>107</v>
      </c>
      <c r="X297">
        <f t="shared" si="72"/>
        <v>4.6728288344619058</v>
      </c>
    </row>
    <row r="298" spans="1:24" x14ac:dyDescent="0.45">
      <c r="A298" t="s">
        <v>22</v>
      </c>
      <c r="B298">
        <v>20</v>
      </c>
      <c r="C298">
        <v>2021</v>
      </c>
      <c r="D298">
        <v>521117123</v>
      </c>
      <c r="E298">
        <v>34261336</v>
      </c>
      <c r="F298">
        <v>3411496</v>
      </c>
      <c r="G298">
        <v>5739830</v>
      </c>
      <c r="H298">
        <v>17704317</v>
      </c>
      <c r="I298">
        <v>5831929</v>
      </c>
      <c r="J298">
        <v>387929596</v>
      </c>
      <c r="K298">
        <v>2.9295233226858799</v>
      </c>
      <c r="L298">
        <v>25.554737309897</v>
      </c>
      <c r="M298">
        <v>27.207097804316199</v>
      </c>
      <c r="N298" s="2">
        <f t="shared" si="75"/>
        <v>2.7594072167181372</v>
      </c>
      <c r="P298" s="2">
        <f t="shared" si="76"/>
        <v>20.071485378675607</v>
      </c>
      <c r="Q298" s="2">
        <f t="shared" si="77"/>
        <v>6.5465052853387051E-3</v>
      </c>
      <c r="R298" s="2">
        <f t="shared" si="78"/>
        <v>6.5745941723737988E-2</v>
      </c>
      <c r="S298" s="2">
        <f t="shared" si="79"/>
        <v>0.32420510771468902</v>
      </c>
      <c r="T298" s="2">
        <v>2.5615641067098523E-2</v>
      </c>
      <c r="U298" s="2">
        <v>1.8347155481044399E-2</v>
      </c>
      <c r="V298" s="3">
        <f t="shared" si="80"/>
        <v>1.5033472723230945E-2</v>
      </c>
      <c r="W298">
        <v>109</v>
      </c>
      <c r="X298">
        <f t="shared" si="72"/>
        <v>4.6913478822291435</v>
      </c>
    </row>
    <row r="299" spans="1:24" x14ac:dyDescent="0.45">
      <c r="A299" t="s">
        <v>22</v>
      </c>
      <c r="B299">
        <v>20</v>
      </c>
      <c r="C299">
        <v>2022</v>
      </c>
      <c r="D299">
        <v>591907695</v>
      </c>
      <c r="E299">
        <v>38626996</v>
      </c>
      <c r="F299">
        <v>5040695</v>
      </c>
      <c r="G299">
        <v>8994156</v>
      </c>
      <c r="H299">
        <v>26141290</v>
      </c>
      <c r="I299">
        <v>4298834</v>
      </c>
      <c r="J299">
        <v>438627777</v>
      </c>
      <c r="K299">
        <v>3.0268176838110499</v>
      </c>
      <c r="L299">
        <v>19.886983507523201</v>
      </c>
      <c r="M299">
        <v>27.746488205671799</v>
      </c>
      <c r="N299" s="2">
        <f t="shared" si="75"/>
        <v>2.7797006295178091</v>
      </c>
      <c r="O299" s="2">
        <v>0.6956</v>
      </c>
      <c r="P299" s="2">
        <f t="shared" si="76"/>
        <v>20.198861260083291</v>
      </c>
      <c r="Q299" s="2">
        <f t="shared" si="77"/>
        <v>8.5160153222877087E-3</v>
      </c>
      <c r="R299" s="2">
        <f t="shared" si="78"/>
        <v>6.525847919581447E-2</v>
      </c>
      <c r="S299" s="2">
        <f t="shared" si="79"/>
        <v>0.34405937886003329</v>
      </c>
      <c r="T299" s="2">
        <v>8.0197923744283764E-2</v>
      </c>
      <c r="U299" s="2">
        <v>3.1565074996312899E-2</v>
      </c>
      <c r="V299" s="3">
        <f t="shared" si="80"/>
        <v>9.8006424248868306E-3</v>
      </c>
      <c r="W299">
        <v>127</v>
      </c>
      <c r="X299">
        <f t="shared" si="72"/>
        <v>4.8441870864585912</v>
      </c>
    </row>
    <row r="300" spans="1:24" x14ac:dyDescent="0.45">
      <c r="A300" t="s">
        <v>22</v>
      </c>
      <c r="B300">
        <v>20</v>
      </c>
      <c r="C300">
        <v>2023</v>
      </c>
      <c r="D300">
        <v>674389660</v>
      </c>
      <c r="E300">
        <v>45733864</v>
      </c>
      <c r="F300">
        <v>7718616</v>
      </c>
      <c r="G300">
        <v>4100678</v>
      </c>
      <c r="H300">
        <v>26173011</v>
      </c>
      <c r="I300">
        <v>10984066</v>
      </c>
      <c r="J300">
        <v>482731122</v>
      </c>
      <c r="K300">
        <v>3.07187771218757</v>
      </c>
      <c r="L300">
        <v>19.004474740999601</v>
      </c>
      <c r="M300">
        <v>27.341668248477099</v>
      </c>
      <c r="N300" s="2">
        <f t="shared" si="75"/>
        <v>2.8514277998385884</v>
      </c>
      <c r="P300" s="2">
        <f t="shared" si="76"/>
        <v>20.329318632387288</v>
      </c>
      <c r="Q300" s="2">
        <f t="shared" si="77"/>
        <v>1.1445335623918078E-2</v>
      </c>
      <c r="R300" s="2">
        <f t="shared" si="78"/>
        <v>6.7815191591164073E-2</v>
      </c>
      <c r="S300" s="2">
        <f t="shared" si="79"/>
        <v>0.15667582151705817</v>
      </c>
      <c r="T300" s="2">
        <v>5.0499999999999996E-2</v>
      </c>
      <c r="U300" s="2">
        <v>3.2500000000000001E-2</v>
      </c>
      <c r="V300" s="3">
        <f t="shared" si="80"/>
        <v>2.2754004246695329E-2</v>
      </c>
      <c r="W300">
        <v>107</v>
      </c>
      <c r="X300">
        <f t="shared" si="72"/>
        <v>4.6728288344619058</v>
      </c>
    </row>
    <row r="301" spans="1:24" x14ac:dyDescent="0.45">
      <c r="A301" t="s">
        <v>22</v>
      </c>
      <c r="B301">
        <v>20</v>
      </c>
      <c r="C301">
        <v>2024</v>
      </c>
      <c r="D301">
        <v>748094546</v>
      </c>
      <c r="E301">
        <v>54972070</v>
      </c>
      <c r="F301">
        <v>10087495</v>
      </c>
      <c r="G301">
        <v>4145420</v>
      </c>
      <c r="H301">
        <v>28677118</v>
      </c>
      <c r="I301">
        <v>12957190</v>
      </c>
      <c r="J301">
        <v>539314658</v>
      </c>
      <c r="K301">
        <v>3.0966938195511502</v>
      </c>
      <c r="L301">
        <v>27.889422983664101</v>
      </c>
      <c r="M301">
        <v>27.243425052219401</v>
      </c>
      <c r="N301" s="2">
        <f t="shared" si="75"/>
        <v>2.9442167058680346</v>
      </c>
      <c r="P301" s="2">
        <f t="shared" si="76"/>
        <v>20.433039926346868</v>
      </c>
      <c r="Q301" s="2">
        <f t="shared" si="77"/>
        <v>1.3484251494596514E-2</v>
      </c>
      <c r="R301" s="2">
        <f t="shared" si="78"/>
        <v>7.3482784086491656E-2</v>
      </c>
      <c r="S301" s="2">
        <f t="shared" si="79"/>
        <v>0.14455497236507517</v>
      </c>
      <c r="T301" s="2">
        <v>7.0900000000000005E-2</v>
      </c>
      <c r="U301" s="2">
        <v>3.6299999999999999E-2</v>
      </c>
      <c r="V301" s="3">
        <f t="shared" si="80"/>
        <v>2.4025288035097313E-2</v>
      </c>
      <c r="W301">
        <v>126</v>
      </c>
      <c r="X301">
        <f t="shared" si="72"/>
        <v>4.836281906951478</v>
      </c>
    </row>
    <row r="302" spans="1:24" x14ac:dyDescent="0.45">
      <c r="A302" t="s">
        <v>23</v>
      </c>
      <c r="B302">
        <v>21</v>
      </c>
      <c r="C302">
        <v>2010</v>
      </c>
      <c r="D302">
        <v>150291215</v>
      </c>
      <c r="E302">
        <v>9389161</v>
      </c>
      <c r="F302">
        <v>2072755</v>
      </c>
      <c r="G302">
        <v>1534672</v>
      </c>
      <c r="H302">
        <v>4719021</v>
      </c>
      <c r="J302">
        <v>52927857</v>
      </c>
      <c r="K302">
        <v>3.2718982631890698</v>
      </c>
      <c r="L302">
        <v>9.7075901186610398</v>
      </c>
      <c r="M302">
        <v>17.334389639963199</v>
      </c>
      <c r="N302" s="2">
        <f t="shared" ref="N302:N316" si="81">LN((Q302+R302)/(_xlfn.STDEV.S($Q$302:$Q$316)))</f>
        <v>2.0637362034974425</v>
      </c>
      <c r="P302" s="2">
        <f t="shared" si="76"/>
        <v>18.828085403247815</v>
      </c>
      <c r="Q302" s="2">
        <f t="shared" si="77"/>
        <v>1.3791591211768432E-2</v>
      </c>
      <c r="R302" s="2">
        <f t="shared" si="78"/>
        <v>6.2473119270477655E-2</v>
      </c>
      <c r="S302" s="2">
        <f t="shared" si="79"/>
        <v>0.32520982636017087</v>
      </c>
      <c r="T302" s="2">
        <v>6.4232448223948205E-2</v>
      </c>
      <c r="U302" s="2">
        <v>9.20746648778413E-2</v>
      </c>
      <c r="W302">
        <v>20</v>
      </c>
      <c r="X302">
        <f t="shared" si="72"/>
        <v>2.9957322735539909</v>
      </c>
    </row>
    <row r="303" spans="1:24" x14ac:dyDescent="0.45">
      <c r="A303" t="s">
        <v>23</v>
      </c>
      <c r="B303">
        <v>21</v>
      </c>
      <c r="C303">
        <v>2011</v>
      </c>
      <c r="D303">
        <v>180531163</v>
      </c>
      <c r="E303">
        <v>12515802</v>
      </c>
      <c r="F303">
        <v>3153766</v>
      </c>
      <c r="G303">
        <v>1363800</v>
      </c>
      <c r="H303">
        <v>6662175</v>
      </c>
      <c r="J303">
        <v>63451465</v>
      </c>
      <c r="K303">
        <v>3.59352181546691</v>
      </c>
      <c r="L303">
        <v>10.9472107468528</v>
      </c>
      <c r="M303">
        <v>19.912794817213701</v>
      </c>
      <c r="N303" s="2">
        <f t="shared" si="81"/>
        <v>2.1930982375573307</v>
      </c>
      <c r="O303" s="2">
        <v>0.55030000000000001</v>
      </c>
      <c r="P303" s="2">
        <f t="shared" si="76"/>
        <v>19.01141396903467</v>
      </c>
      <c r="Q303" s="2">
        <f t="shared" si="77"/>
        <v>1.7469371756055212E-2</v>
      </c>
      <c r="R303" s="2">
        <f t="shared" si="78"/>
        <v>6.9327653974067621E-2</v>
      </c>
      <c r="S303" s="2">
        <f t="shared" si="79"/>
        <v>0.20470792196242218</v>
      </c>
      <c r="T303" s="2">
        <v>6.4131688968168274E-2</v>
      </c>
      <c r="U303" s="2">
        <v>0.18677732277070699</v>
      </c>
      <c r="W303">
        <v>20</v>
      </c>
      <c r="X303">
        <f t="shared" si="72"/>
        <v>2.9957322735539909</v>
      </c>
    </row>
    <row r="304" spans="1:24" x14ac:dyDescent="0.45">
      <c r="A304" t="s">
        <v>23</v>
      </c>
      <c r="B304">
        <v>21</v>
      </c>
      <c r="C304">
        <v>2012</v>
      </c>
      <c r="D304">
        <v>179933598</v>
      </c>
      <c r="E304">
        <v>13289576</v>
      </c>
      <c r="F304">
        <v>765686</v>
      </c>
      <c r="G304">
        <v>645805</v>
      </c>
      <c r="H304">
        <v>5761378</v>
      </c>
      <c r="I304">
        <v>1840472</v>
      </c>
      <c r="J304">
        <v>68261442</v>
      </c>
      <c r="K304">
        <v>3.1504539182237998</v>
      </c>
      <c r="L304">
        <v>12.0614890394782</v>
      </c>
      <c r="M304">
        <v>20.9770541106558</v>
      </c>
      <c r="N304" s="2">
        <f t="shared" si="81"/>
        <v>2.0876901236501357</v>
      </c>
      <c r="P304" s="2">
        <f t="shared" si="76"/>
        <v>19.008098440794139</v>
      </c>
      <c r="Q304" s="2">
        <f t="shared" si="77"/>
        <v>4.2553809211329169E-3</v>
      </c>
      <c r="R304" s="2">
        <f t="shared" si="78"/>
        <v>7.3858224076639653E-2</v>
      </c>
      <c r="S304" s="2">
        <f t="shared" si="79"/>
        <v>0.11209210713131476</v>
      </c>
      <c r="T304" s="2">
        <v>5.5045447041188994E-2</v>
      </c>
      <c r="U304" s="2">
        <v>9.0947033955719195E-2</v>
      </c>
      <c r="V304" s="3">
        <f t="shared" ref="V304:V317" si="82">I304/J304</f>
        <v>2.6962102558571791E-2</v>
      </c>
      <c r="W304">
        <v>29</v>
      </c>
      <c r="X304">
        <f t="shared" si="72"/>
        <v>3.3672958299864741</v>
      </c>
    </row>
    <row r="305" spans="1:24" x14ac:dyDescent="0.45">
      <c r="A305" t="s">
        <v>23</v>
      </c>
      <c r="B305">
        <v>21</v>
      </c>
      <c r="C305">
        <v>2013</v>
      </c>
      <c r="D305">
        <v>158896663</v>
      </c>
      <c r="E305">
        <v>13920069</v>
      </c>
      <c r="F305">
        <v>659071</v>
      </c>
      <c r="G305">
        <v>1312174</v>
      </c>
      <c r="H305">
        <v>5647836</v>
      </c>
      <c r="I305">
        <v>2566244</v>
      </c>
      <c r="J305">
        <v>70274919</v>
      </c>
      <c r="K305">
        <v>3.6926464082046402</v>
      </c>
      <c r="L305">
        <v>12.840142796842899</v>
      </c>
      <c r="M305">
        <v>22.1573299611807</v>
      </c>
      <c r="N305" s="2">
        <f t="shared" si="81"/>
        <v>2.2486188284794131</v>
      </c>
      <c r="P305" s="2">
        <f t="shared" si="76"/>
        <v>18.883764630657101</v>
      </c>
      <c r="Q305" s="2">
        <f t="shared" si="77"/>
        <v>4.1477963574351462E-3</v>
      </c>
      <c r="R305" s="2">
        <f t="shared" si="78"/>
        <v>8.7604539561664682E-2</v>
      </c>
      <c r="S305" s="2">
        <f t="shared" si="79"/>
        <v>0.23233217111828319</v>
      </c>
      <c r="T305" s="2">
        <v>5.5535108102607179E-2</v>
      </c>
      <c r="U305" s="2">
        <v>6.5926747589919191E-2</v>
      </c>
      <c r="V305" s="3">
        <f t="shared" si="82"/>
        <v>3.6517210357794934E-2</v>
      </c>
      <c r="W305">
        <v>33</v>
      </c>
      <c r="X305">
        <f t="shared" si="72"/>
        <v>3.4965075614664802</v>
      </c>
    </row>
    <row r="306" spans="1:24" x14ac:dyDescent="0.45">
      <c r="A306" t="s">
        <v>23</v>
      </c>
      <c r="B306">
        <v>21</v>
      </c>
      <c r="C306">
        <v>2014</v>
      </c>
      <c r="D306">
        <v>175901794</v>
      </c>
      <c r="E306">
        <v>14986050</v>
      </c>
      <c r="F306">
        <v>1081858</v>
      </c>
      <c r="G306">
        <v>1333802</v>
      </c>
      <c r="H306">
        <v>7106432</v>
      </c>
      <c r="I306">
        <v>1913836</v>
      </c>
      <c r="J306">
        <v>80307567</v>
      </c>
      <c r="K306">
        <v>3.8792484082456702</v>
      </c>
      <c r="L306">
        <v>14.6258764318214</v>
      </c>
      <c r="M306">
        <v>22.979955992336901</v>
      </c>
      <c r="N306" s="2">
        <f t="shared" si="81"/>
        <v>2.244179301388773</v>
      </c>
      <c r="P306" s="2">
        <f t="shared" si="76"/>
        <v>18.98543640863247</v>
      </c>
      <c r="Q306" s="2">
        <f t="shared" si="77"/>
        <v>6.1503522812280127E-3</v>
      </c>
      <c r="R306" s="2">
        <f t="shared" si="78"/>
        <v>8.5195549512132887E-2</v>
      </c>
      <c r="S306" s="2">
        <f t="shared" si="79"/>
        <v>0.18768940587906843</v>
      </c>
      <c r="T306" s="2">
        <v>6.4222431211856723E-2</v>
      </c>
      <c r="U306" s="2">
        <v>4.0845544663761703E-2</v>
      </c>
      <c r="V306" s="3">
        <f t="shared" si="82"/>
        <v>2.3831328372829426E-2</v>
      </c>
      <c r="W306">
        <v>32</v>
      </c>
      <c r="X306">
        <f t="shared" si="72"/>
        <v>3.4657359027997265</v>
      </c>
    </row>
    <row r="307" spans="1:24" x14ac:dyDescent="0.45">
      <c r="A307" t="s">
        <v>23</v>
      </c>
      <c r="B307">
        <v>21</v>
      </c>
      <c r="C307">
        <v>2015</v>
      </c>
      <c r="D307">
        <v>191993602</v>
      </c>
      <c r="E307">
        <v>16457566</v>
      </c>
      <c r="F307">
        <v>1529188</v>
      </c>
      <c r="G307">
        <v>2135562</v>
      </c>
      <c r="H307">
        <v>9343942</v>
      </c>
      <c r="I307">
        <v>1863706</v>
      </c>
      <c r="J307">
        <v>111625772</v>
      </c>
      <c r="K307">
        <v>3.7957611751290998</v>
      </c>
      <c r="L307">
        <v>15.8219673058815</v>
      </c>
      <c r="M307">
        <v>24.006275960852001</v>
      </c>
      <c r="N307" s="2">
        <f t="shared" si="81"/>
        <v>2.2694547107944874</v>
      </c>
      <c r="O307" s="2">
        <v>0.54669999999999996</v>
      </c>
      <c r="P307" s="2">
        <f t="shared" si="76"/>
        <v>19.072972606520167</v>
      </c>
      <c r="Q307" s="2">
        <f t="shared" si="77"/>
        <v>7.9647862432415846E-3</v>
      </c>
      <c r="R307" s="2">
        <f t="shared" si="78"/>
        <v>8.5719346001956881E-2</v>
      </c>
      <c r="S307" s="2">
        <f t="shared" si="79"/>
        <v>0.22855043406733475</v>
      </c>
      <c r="T307" s="2">
        <v>6.9871543059861096E-2</v>
      </c>
      <c r="U307" s="2">
        <v>6.3120090517575396E-3</v>
      </c>
      <c r="V307" s="3">
        <f t="shared" si="82"/>
        <v>1.669601890860831E-2</v>
      </c>
      <c r="W307">
        <v>6</v>
      </c>
      <c r="X307">
        <f t="shared" si="72"/>
        <v>1.791759469228055</v>
      </c>
    </row>
    <row r="308" spans="1:24" x14ac:dyDescent="0.45">
      <c r="A308" t="s">
        <v>23</v>
      </c>
      <c r="B308">
        <v>21</v>
      </c>
      <c r="C308">
        <v>2016</v>
      </c>
      <c r="D308">
        <v>235363136</v>
      </c>
      <c r="E308">
        <v>19586476</v>
      </c>
      <c r="F308">
        <v>3148846</v>
      </c>
      <c r="G308">
        <v>3776505</v>
      </c>
      <c r="H308">
        <v>11918726</v>
      </c>
      <c r="I308">
        <v>2246304</v>
      </c>
      <c r="J308">
        <v>142616004</v>
      </c>
      <c r="K308">
        <v>3.8729071718276198</v>
      </c>
      <c r="L308">
        <v>18.127194558590599</v>
      </c>
      <c r="M308">
        <v>24.4994330579914</v>
      </c>
      <c r="N308" s="2">
        <f t="shared" si="81"/>
        <v>2.3000713305698728</v>
      </c>
      <c r="O308" s="2">
        <v>0.49370000000000003</v>
      </c>
      <c r="P308" s="2">
        <f t="shared" si="76"/>
        <v>19.276640138997838</v>
      </c>
      <c r="Q308" s="2">
        <f t="shared" si="77"/>
        <v>1.3378671161145644E-2</v>
      </c>
      <c r="R308" s="2">
        <f t="shared" si="78"/>
        <v>8.3218112797409358E-2</v>
      </c>
      <c r="S308" s="2">
        <f t="shared" si="79"/>
        <v>0.31685475444271477</v>
      </c>
      <c r="T308" s="2">
        <v>6.6900089266042351E-2</v>
      </c>
      <c r="U308" s="2">
        <v>2.6682481696908199E-2</v>
      </c>
      <c r="V308" s="3">
        <f t="shared" si="82"/>
        <v>1.5750714765504159E-2</v>
      </c>
      <c r="W308">
        <v>10</v>
      </c>
      <c r="X308">
        <f t="shared" si="72"/>
        <v>2.3025850929940459</v>
      </c>
    </row>
    <row r="309" spans="1:24" x14ac:dyDescent="0.45">
      <c r="A309" t="s">
        <v>23</v>
      </c>
      <c r="B309">
        <v>21</v>
      </c>
      <c r="C309">
        <v>2017</v>
      </c>
      <c r="D309">
        <v>269392380</v>
      </c>
      <c r="E309">
        <v>26930745</v>
      </c>
      <c r="F309">
        <v>6445595</v>
      </c>
      <c r="G309">
        <v>7413394</v>
      </c>
      <c r="H309">
        <v>16343806</v>
      </c>
      <c r="I309">
        <v>2583926</v>
      </c>
      <c r="J309">
        <v>160849037</v>
      </c>
      <c r="K309">
        <v>3.4878659520670099</v>
      </c>
      <c r="L309">
        <v>19.9794949903735</v>
      </c>
      <c r="M309">
        <v>24.408110955118602</v>
      </c>
      <c r="N309" s="2">
        <f t="shared" si="81"/>
        <v>2.5489594484711269</v>
      </c>
      <c r="O309" s="2">
        <v>0.49230000000000002</v>
      </c>
      <c r="P309" s="2">
        <f t="shared" si="76"/>
        <v>19.411679536462557</v>
      </c>
      <c r="Q309" s="2">
        <f t="shared" si="77"/>
        <v>2.392641915112818E-2</v>
      </c>
      <c r="R309" s="2">
        <f t="shared" si="78"/>
        <v>9.996847349579821E-2</v>
      </c>
      <c r="S309" s="2">
        <f t="shared" si="79"/>
        <v>0.45359043052762621</v>
      </c>
      <c r="T309" s="2">
        <v>6.9401903735920603E-2</v>
      </c>
      <c r="U309" s="2">
        <v>3.5202568881161703E-2</v>
      </c>
      <c r="V309" s="3">
        <f t="shared" si="82"/>
        <v>1.6064292632351911E-2</v>
      </c>
      <c r="W309">
        <v>27</v>
      </c>
      <c r="X309">
        <f t="shared" si="72"/>
        <v>3.2958368660043291</v>
      </c>
    </row>
    <row r="310" spans="1:24" x14ac:dyDescent="0.45">
      <c r="A310" t="s">
        <v>23</v>
      </c>
      <c r="B310">
        <v>21</v>
      </c>
      <c r="C310">
        <v>2018</v>
      </c>
      <c r="D310">
        <v>320988941</v>
      </c>
      <c r="E310">
        <v>51782705</v>
      </c>
      <c r="F310">
        <v>8473997</v>
      </c>
      <c r="G310">
        <v>7223233</v>
      </c>
      <c r="H310">
        <v>18349768</v>
      </c>
      <c r="I310">
        <v>2803449</v>
      </c>
      <c r="J310">
        <v>159939217</v>
      </c>
      <c r="K310">
        <v>3.9598095587873798</v>
      </c>
      <c r="L310">
        <v>20.511087535654799</v>
      </c>
      <c r="M310">
        <v>25.6092485278987</v>
      </c>
      <c r="N310" s="2">
        <f t="shared" si="81"/>
        <v>2.9644882931180621</v>
      </c>
      <c r="O310" s="2">
        <v>0.62919999999999998</v>
      </c>
      <c r="P310" s="2">
        <f t="shared" si="76"/>
        <v>19.586917228787421</v>
      </c>
      <c r="Q310" s="2">
        <f t="shared" si="77"/>
        <v>2.6399654061602079E-2</v>
      </c>
      <c r="R310" s="2">
        <f t="shared" si="78"/>
        <v>0.16132239583917629</v>
      </c>
      <c r="S310" s="2">
        <f t="shared" si="79"/>
        <v>0.39364165258111167</v>
      </c>
      <c r="T310" s="2">
        <v>7.4650068557275087E-2</v>
      </c>
      <c r="U310" s="2">
        <v>3.5396280594264098E-2</v>
      </c>
      <c r="V310" s="3">
        <f t="shared" si="82"/>
        <v>1.7528215109368705E-2</v>
      </c>
      <c r="W310">
        <v>24</v>
      </c>
      <c r="X310">
        <f t="shared" si="72"/>
        <v>3.1780538303479458</v>
      </c>
    </row>
    <row r="311" spans="1:24" x14ac:dyDescent="0.45">
      <c r="A311" t="s">
        <v>23</v>
      </c>
      <c r="B311">
        <v>21</v>
      </c>
      <c r="C311">
        <v>2019</v>
      </c>
      <c r="D311">
        <v>383699461</v>
      </c>
      <c r="E311">
        <v>62072767</v>
      </c>
      <c r="F311">
        <v>10226209</v>
      </c>
      <c r="G311">
        <v>6810301</v>
      </c>
      <c r="H311">
        <v>21068145</v>
      </c>
      <c r="I311">
        <v>3077876</v>
      </c>
      <c r="J311">
        <v>230802027</v>
      </c>
      <c r="K311">
        <v>4.0230286341449499</v>
      </c>
      <c r="L311">
        <v>21.918245362198</v>
      </c>
      <c r="M311">
        <v>26.1660509841828</v>
      </c>
      <c r="N311" s="2">
        <f t="shared" si="81"/>
        <v>2.9682315345891803</v>
      </c>
      <c r="O311" s="2">
        <v>0.69720000000000004</v>
      </c>
      <c r="P311" s="2">
        <f t="shared" si="76"/>
        <v>19.765370150472904</v>
      </c>
      <c r="Q311" s="2">
        <f t="shared" si="77"/>
        <v>2.6651611585141111E-2</v>
      </c>
      <c r="R311" s="2">
        <f t="shared" si="78"/>
        <v>0.16177444408763453</v>
      </c>
      <c r="S311" s="2">
        <f t="shared" si="79"/>
        <v>0.323251097806665</v>
      </c>
      <c r="T311" s="2">
        <v>7.3592627010500566E-2</v>
      </c>
      <c r="U311" s="2">
        <v>2.7958236745225001E-2</v>
      </c>
      <c r="V311" s="3">
        <f t="shared" si="82"/>
        <v>1.3335567455826546E-2</v>
      </c>
      <c r="W311">
        <v>77</v>
      </c>
      <c r="X311">
        <f t="shared" si="72"/>
        <v>4.3438054218536841</v>
      </c>
    </row>
    <row r="312" spans="1:24" x14ac:dyDescent="0.45">
      <c r="A312" t="s">
        <v>23</v>
      </c>
      <c r="B312">
        <v>21</v>
      </c>
      <c r="C312">
        <v>2020</v>
      </c>
      <c r="D312">
        <v>439602933</v>
      </c>
      <c r="E312">
        <v>74614786</v>
      </c>
      <c r="F312">
        <v>12582467</v>
      </c>
      <c r="G312">
        <v>8291317</v>
      </c>
      <c r="H312">
        <v>27042526</v>
      </c>
      <c r="I312">
        <v>1295192</v>
      </c>
      <c r="J312">
        <v>277524615</v>
      </c>
      <c r="K312">
        <v>4.0399838659549498</v>
      </c>
      <c r="L312">
        <v>23.747196863397502</v>
      </c>
      <c r="M312">
        <v>26.4783455246633</v>
      </c>
      <c r="N312" s="2">
        <f t="shared" si="81"/>
        <v>3.0195820948856609</v>
      </c>
      <c r="O312" s="2">
        <v>0.70689999999999997</v>
      </c>
      <c r="P312" s="2">
        <f t="shared" si="76"/>
        <v>19.901382452446004</v>
      </c>
      <c r="Q312" s="2">
        <f t="shared" si="77"/>
        <v>2.8622345429164822E-2</v>
      </c>
      <c r="R312" s="2">
        <f t="shared" si="78"/>
        <v>0.16973222969829457</v>
      </c>
      <c r="S312" s="2">
        <f t="shared" si="79"/>
        <v>0.30660290388553202</v>
      </c>
      <c r="T312" s="2">
        <v>2.8654132091227212E-2</v>
      </c>
      <c r="U312" s="2">
        <v>3.2209343665251404E-2</v>
      </c>
      <c r="V312" s="3">
        <f t="shared" si="82"/>
        <v>4.6669445879602431E-3</v>
      </c>
      <c r="W312">
        <v>107</v>
      </c>
      <c r="X312">
        <f t="shared" si="72"/>
        <v>4.6728288344619058</v>
      </c>
    </row>
    <row r="313" spans="1:24" x14ac:dyDescent="0.45">
      <c r="A313" t="s">
        <v>23</v>
      </c>
      <c r="B313">
        <v>21</v>
      </c>
      <c r="C313">
        <v>2021</v>
      </c>
      <c r="D313">
        <v>568728950</v>
      </c>
      <c r="E313">
        <v>93041472</v>
      </c>
      <c r="F313">
        <v>18415382</v>
      </c>
      <c r="G313">
        <v>10377678</v>
      </c>
      <c r="H313">
        <v>37076291</v>
      </c>
      <c r="I313">
        <v>2293874</v>
      </c>
      <c r="J313">
        <v>347341244</v>
      </c>
      <c r="K313">
        <v>2.9295233226858799</v>
      </c>
      <c r="L313">
        <v>25.554737309897</v>
      </c>
      <c r="M313">
        <v>27.207097804316199</v>
      </c>
      <c r="N313" s="2">
        <f t="shared" si="81"/>
        <v>3.0075147590217339</v>
      </c>
      <c r="P313" s="2">
        <f t="shared" si="76"/>
        <v>20.158914516555498</v>
      </c>
      <c r="Q313" s="2">
        <f t="shared" si="77"/>
        <v>3.2379892038202032E-2</v>
      </c>
      <c r="R313" s="2">
        <f t="shared" si="78"/>
        <v>0.16359545614831106</v>
      </c>
      <c r="S313" s="2">
        <f t="shared" si="79"/>
        <v>0.27990065133537761</v>
      </c>
      <c r="T313" s="2">
        <v>2.5615641067098523E-2</v>
      </c>
      <c r="U313" s="2">
        <v>1.8347155481044399E-2</v>
      </c>
      <c r="V313" s="3">
        <f t="shared" si="82"/>
        <v>6.6040933509180387E-3</v>
      </c>
      <c r="W313">
        <v>115</v>
      </c>
      <c r="X313">
        <f t="shared" si="72"/>
        <v>4.7449321283632502</v>
      </c>
    </row>
    <row r="314" spans="1:24" x14ac:dyDescent="0.45">
      <c r="A314" t="s">
        <v>23</v>
      </c>
      <c r="B314">
        <v>21</v>
      </c>
      <c r="C314">
        <v>2022</v>
      </c>
      <c r="D314">
        <v>699032544</v>
      </c>
      <c r="E314">
        <v>113424966</v>
      </c>
      <c r="F314">
        <v>20436426</v>
      </c>
      <c r="G314">
        <v>10612305</v>
      </c>
      <c r="H314">
        <v>40902080</v>
      </c>
      <c r="I314">
        <v>3032605</v>
      </c>
      <c r="J314">
        <v>420523705</v>
      </c>
      <c r="K314">
        <v>3.0268176838110499</v>
      </c>
      <c r="L314">
        <v>19.886983507523201</v>
      </c>
      <c r="M314">
        <v>27.746488205671799</v>
      </c>
      <c r="N314" s="2">
        <f t="shared" si="81"/>
        <v>2.984388738694983</v>
      </c>
      <c r="O314" s="2">
        <v>0.71760000000000002</v>
      </c>
      <c r="P314" s="2">
        <f t="shared" si="76"/>
        <v>20.365207857054212</v>
      </c>
      <c r="Q314" s="2">
        <f t="shared" si="77"/>
        <v>2.9235299808874134E-2</v>
      </c>
      <c r="R314" s="2">
        <f t="shared" si="78"/>
        <v>0.16225992190715516</v>
      </c>
      <c r="S314" s="2">
        <f t="shared" si="79"/>
        <v>0.25945636505527347</v>
      </c>
      <c r="T314" s="2">
        <v>8.0197923744283764E-2</v>
      </c>
      <c r="U314" s="2">
        <v>3.1565074996312899E-2</v>
      </c>
      <c r="V314" s="3">
        <f t="shared" si="82"/>
        <v>7.2114959607330583E-3</v>
      </c>
      <c r="W314">
        <v>172</v>
      </c>
      <c r="X314">
        <f t="shared" si="72"/>
        <v>5.1474944768134527</v>
      </c>
    </row>
    <row r="315" spans="1:24" x14ac:dyDescent="0.45">
      <c r="A315" t="s">
        <v>23</v>
      </c>
      <c r="B315">
        <v>21</v>
      </c>
      <c r="C315">
        <v>2023</v>
      </c>
      <c r="D315">
        <v>849482012</v>
      </c>
      <c r="E315">
        <v>131616065</v>
      </c>
      <c r="F315">
        <v>18190866</v>
      </c>
      <c r="G315">
        <v>12369972</v>
      </c>
      <c r="H315">
        <v>40061092</v>
      </c>
      <c r="I315">
        <v>5999143</v>
      </c>
      <c r="J315">
        <v>518641568</v>
      </c>
      <c r="K315">
        <v>3.07187771218757</v>
      </c>
      <c r="L315">
        <v>19.004474740999601</v>
      </c>
      <c r="M315">
        <v>27.341668248477099</v>
      </c>
      <c r="N315" s="2">
        <f t="shared" si="81"/>
        <v>2.9020017335337389</v>
      </c>
      <c r="P315" s="2">
        <f t="shared" si="76"/>
        <v>20.56013732404336</v>
      </c>
      <c r="Q315" s="2">
        <f t="shared" si="77"/>
        <v>2.1414068506491225E-2</v>
      </c>
      <c r="R315" s="2">
        <f t="shared" si="78"/>
        <v>0.15493684756211176</v>
      </c>
      <c r="S315" s="2">
        <f t="shared" si="79"/>
        <v>0.30877770381296643</v>
      </c>
      <c r="T315" s="2">
        <v>5.0499999999999996E-2</v>
      </c>
      <c r="U315" s="2">
        <v>3.2500000000000001E-2</v>
      </c>
      <c r="V315" s="3">
        <f t="shared" si="82"/>
        <v>1.1567030816935985E-2</v>
      </c>
      <c r="W315">
        <v>179</v>
      </c>
      <c r="X315">
        <f t="shared" si="72"/>
        <v>5.1873858058407549</v>
      </c>
    </row>
    <row r="316" spans="1:24" x14ac:dyDescent="0.45">
      <c r="A316" t="s">
        <v>23</v>
      </c>
      <c r="B316">
        <v>21</v>
      </c>
      <c r="C316">
        <v>2024</v>
      </c>
      <c r="D316">
        <v>978798549</v>
      </c>
      <c r="E316">
        <v>147939621</v>
      </c>
      <c r="F316">
        <v>21760104</v>
      </c>
      <c r="G316">
        <v>11482434</v>
      </c>
      <c r="H316">
        <v>46990397</v>
      </c>
      <c r="I316">
        <v>7100800</v>
      </c>
      <c r="J316">
        <v>631724964</v>
      </c>
      <c r="K316">
        <v>3.0966938195511502</v>
      </c>
      <c r="L316">
        <v>27.889422983664101</v>
      </c>
      <c r="M316">
        <v>27.243425052219401</v>
      </c>
      <c r="N316" s="2">
        <f t="shared" si="81"/>
        <v>2.884985863834379</v>
      </c>
      <c r="P316" s="2">
        <f t="shared" si="76"/>
        <v>20.701836407104231</v>
      </c>
      <c r="Q316" s="2">
        <f t="shared" si="77"/>
        <v>2.223144284616221E-2</v>
      </c>
      <c r="R316" s="2">
        <f t="shared" si="78"/>
        <v>0.15114409512676955</v>
      </c>
      <c r="S316" s="2">
        <f t="shared" si="79"/>
        <v>0.24435703320403954</v>
      </c>
      <c r="T316" s="2">
        <v>7.0900000000000005E-2</v>
      </c>
      <c r="U316" s="2">
        <v>3.6299999999999999E-2</v>
      </c>
      <c r="V316" s="3">
        <f t="shared" si="82"/>
        <v>1.1240334646645372E-2</v>
      </c>
      <c r="W316">
        <v>273</v>
      </c>
      <c r="X316">
        <f t="shared" si="72"/>
        <v>5.6094717951849598</v>
      </c>
    </row>
    <row r="317" spans="1:24" x14ac:dyDescent="0.45">
      <c r="A317" t="s">
        <v>24</v>
      </c>
      <c r="B317">
        <v>22</v>
      </c>
      <c r="C317">
        <v>2010</v>
      </c>
      <c r="D317">
        <v>20889254</v>
      </c>
      <c r="E317">
        <v>3197581</v>
      </c>
      <c r="F317">
        <v>161678</v>
      </c>
      <c r="G317">
        <v>246321</v>
      </c>
      <c r="H317">
        <v>459027</v>
      </c>
      <c r="I317">
        <v>957</v>
      </c>
      <c r="J317">
        <v>5224779</v>
      </c>
      <c r="K317">
        <v>3.2718982631890698</v>
      </c>
      <c r="L317">
        <v>9.7075901186610398</v>
      </c>
      <c r="M317">
        <v>17.334389639963199</v>
      </c>
      <c r="N317" s="2">
        <f t="shared" ref="N317:N331" si="83">LN((Q317+R317)/(_xlfn.STDEV.S($Q$317:$Q$331)))</f>
        <v>2.194568082286231</v>
      </c>
      <c r="P317" s="2">
        <f t="shared" si="76"/>
        <v>16.854745422028657</v>
      </c>
      <c r="Q317" s="2">
        <f t="shared" si="77"/>
        <v>7.7397689740380388E-3</v>
      </c>
      <c r="R317" s="2">
        <f t="shared" si="78"/>
        <v>0.15307301064939896</v>
      </c>
      <c r="S317" s="2">
        <f t="shared" si="79"/>
        <v>0.53661549320628199</v>
      </c>
      <c r="T317" s="2">
        <v>6.4232448223948205E-2</v>
      </c>
      <c r="U317" s="2">
        <v>9.20746648778413E-2</v>
      </c>
      <c r="V317" s="3">
        <f t="shared" si="82"/>
        <v>1.8316564203002653E-4</v>
      </c>
      <c r="W317">
        <v>7</v>
      </c>
      <c r="X317">
        <f t="shared" si="72"/>
        <v>1.9459101490553132</v>
      </c>
    </row>
    <row r="318" spans="1:24" x14ac:dyDescent="0.45">
      <c r="A318" t="s">
        <v>24</v>
      </c>
      <c r="B318">
        <v>22</v>
      </c>
      <c r="C318">
        <v>2011</v>
      </c>
      <c r="D318">
        <v>24885252</v>
      </c>
      <c r="E318">
        <v>1672654</v>
      </c>
      <c r="F318">
        <v>-1371612</v>
      </c>
      <c r="G318">
        <v>1745</v>
      </c>
      <c r="H318">
        <v>14983</v>
      </c>
      <c r="J318">
        <v>3664471</v>
      </c>
      <c r="K318">
        <v>3.59352181546691</v>
      </c>
      <c r="L318">
        <v>10.9472107468528</v>
      </c>
      <c r="M318">
        <v>19.912794817213701</v>
      </c>
      <c r="N318" s="2">
        <f t="shared" si="83"/>
        <v>-0.39269829551378554</v>
      </c>
      <c r="P318" s="2">
        <f t="shared" si="76"/>
        <v>17.029785896805798</v>
      </c>
      <c r="Q318" s="2">
        <f t="shared" si="77"/>
        <v>-5.5117464753822863E-2</v>
      </c>
      <c r="R318" s="2">
        <f t="shared" si="78"/>
        <v>6.7214669957933321E-2</v>
      </c>
      <c r="S318" s="2">
        <f t="shared" si="79"/>
        <v>0.11646532737102049</v>
      </c>
      <c r="T318" s="2">
        <v>6.4131688968168274E-2</v>
      </c>
      <c r="U318" s="2">
        <v>0.18677732277070699</v>
      </c>
      <c r="W318">
        <v>7</v>
      </c>
      <c r="X318">
        <f t="shared" si="72"/>
        <v>1.9459101490553132</v>
      </c>
    </row>
    <row r="319" spans="1:24" x14ac:dyDescent="0.45">
      <c r="A319" t="s">
        <v>24</v>
      </c>
      <c r="B319">
        <v>22</v>
      </c>
      <c r="C319">
        <v>2012</v>
      </c>
      <c r="D319">
        <v>15120370</v>
      </c>
      <c r="E319">
        <v>3319007</v>
      </c>
      <c r="F319">
        <v>116353</v>
      </c>
      <c r="G319">
        <v>239877</v>
      </c>
      <c r="H319">
        <v>514495</v>
      </c>
      <c r="I319">
        <v>222791</v>
      </c>
      <c r="J319">
        <v>6083030</v>
      </c>
      <c r="K319">
        <v>3.1504539182237998</v>
      </c>
      <c r="L319">
        <v>12.0614890394782</v>
      </c>
      <c r="M319">
        <v>20.9770541106558</v>
      </c>
      <c r="N319" s="2">
        <f t="shared" si="83"/>
        <v>2.5401614147361733</v>
      </c>
      <c r="P319" s="2">
        <f t="shared" ref="P319:P346" si="84">LN(D319)</f>
        <v>16.531553399315726</v>
      </c>
      <c r="Q319" s="2">
        <f t="shared" ref="Q319:Q346" si="85">F319/D319</f>
        <v>7.6951159263959814E-3</v>
      </c>
      <c r="R319" s="2">
        <f t="shared" ref="R319:R346" si="86">E319/D319</f>
        <v>0.21950567347227615</v>
      </c>
      <c r="S319" s="2">
        <f t="shared" ref="S319:S346" si="87">G319/H319</f>
        <v>0.46623776713087589</v>
      </c>
      <c r="T319" s="2">
        <v>5.5045447041188994E-2</v>
      </c>
      <c r="U319" s="2">
        <v>9.0947033955719195E-2</v>
      </c>
      <c r="V319" s="3">
        <f>I319/J319</f>
        <v>3.6625004315283663E-2</v>
      </c>
      <c r="W319">
        <v>0</v>
      </c>
      <c r="X319" t="e">
        <f t="shared" si="72"/>
        <v>#NUM!</v>
      </c>
    </row>
    <row r="320" spans="1:24" x14ac:dyDescent="0.45">
      <c r="A320" t="s">
        <v>24</v>
      </c>
      <c r="B320">
        <v>22</v>
      </c>
      <c r="C320">
        <v>2013</v>
      </c>
      <c r="D320">
        <v>32088039</v>
      </c>
      <c r="E320">
        <v>3700671</v>
      </c>
      <c r="F320">
        <v>381385</v>
      </c>
      <c r="G320">
        <v>291867</v>
      </c>
      <c r="H320">
        <v>889307</v>
      </c>
      <c r="J320">
        <v>11925991</v>
      </c>
      <c r="K320">
        <v>3.6926464082046402</v>
      </c>
      <c r="L320">
        <v>12.840142796842899</v>
      </c>
      <c r="M320">
        <v>22.1573299611807</v>
      </c>
      <c r="N320" s="2">
        <f t="shared" si="83"/>
        <v>1.9601999715955838</v>
      </c>
      <c r="O320" s="2">
        <v>0.54179999999999995</v>
      </c>
      <c r="P320" s="2">
        <f t="shared" si="84"/>
        <v>17.283993901838915</v>
      </c>
      <c r="Q320" s="2">
        <f t="shared" si="85"/>
        <v>1.1885581415554874E-2</v>
      </c>
      <c r="R320" s="2">
        <f t="shared" si="86"/>
        <v>0.11532867433874659</v>
      </c>
      <c r="S320" s="2">
        <f t="shared" si="87"/>
        <v>0.32819599980659098</v>
      </c>
      <c r="T320" s="2">
        <v>5.5535108102607179E-2</v>
      </c>
      <c r="U320" s="2">
        <v>6.5926747589919191E-2</v>
      </c>
      <c r="W320">
        <v>9</v>
      </c>
      <c r="X320">
        <f t="shared" si="72"/>
        <v>2.1972245773362196</v>
      </c>
    </row>
    <row r="321" spans="1:24" x14ac:dyDescent="0.45">
      <c r="A321" t="s">
        <v>24</v>
      </c>
      <c r="B321">
        <v>22</v>
      </c>
      <c r="C321">
        <v>2014</v>
      </c>
      <c r="D321">
        <v>51477556</v>
      </c>
      <c r="E321">
        <v>4236547</v>
      </c>
      <c r="F321">
        <v>535877</v>
      </c>
      <c r="G321">
        <v>172302</v>
      </c>
      <c r="H321">
        <v>1151473</v>
      </c>
      <c r="J321">
        <v>19838991</v>
      </c>
      <c r="K321">
        <v>3.8792484082456702</v>
      </c>
      <c r="L321">
        <v>14.6258764318214</v>
      </c>
      <c r="M321">
        <v>22.979955992336901</v>
      </c>
      <c r="N321" s="2">
        <f t="shared" si="83"/>
        <v>1.6437909774810053</v>
      </c>
      <c r="O321" s="2">
        <v>0.55730000000000002</v>
      </c>
      <c r="P321" s="2">
        <f t="shared" si="84"/>
        <v>17.756656464817762</v>
      </c>
      <c r="Q321" s="2">
        <f t="shared" si="85"/>
        <v>1.0409915342523255E-2</v>
      </c>
      <c r="R321" s="2">
        <f t="shared" si="86"/>
        <v>8.2298914890209629E-2</v>
      </c>
      <c r="S321" s="2">
        <f t="shared" si="87"/>
        <v>0.1496361616816026</v>
      </c>
      <c r="T321" s="2">
        <v>6.4222431211856723E-2</v>
      </c>
      <c r="U321" s="2">
        <v>4.0845544663761703E-2</v>
      </c>
      <c r="W321">
        <v>39</v>
      </c>
      <c r="X321">
        <f t="shared" si="72"/>
        <v>3.6635616461296463</v>
      </c>
    </row>
    <row r="322" spans="1:24" x14ac:dyDescent="0.45">
      <c r="A322" t="s">
        <v>24</v>
      </c>
      <c r="B322">
        <v>22</v>
      </c>
      <c r="C322">
        <v>2015</v>
      </c>
      <c r="D322">
        <v>76220834</v>
      </c>
      <c r="E322">
        <v>4798665</v>
      </c>
      <c r="F322">
        <v>562160</v>
      </c>
      <c r="G322">
        <v>152304</v>
      </c>
      <c r="H322">
        <v>1555223</v>
      </c>
      <c r="I322">
        <v>227780</v>
      </c>
      <c r="J322">
        <v>28240322</v>
      </c>
      <c r="K322">
        <v>3.7957611751290998</v>
      </c>
      <c r="L322">
        <v>15.8219673058815</v>
      </c>
      <c r="M322">
        <v>24.006275960852001</v>
      </c>
      <c r="N322" s="2">
        <f t="shared" si="83"/>
        <v>1.3675655761645535</v>
      </c>
      <c r="P322" s="2">
        <f t="shared" si="84"/>
        <v>18.149145395360097</v>
      </c>
      <c r="Q322" s="2">
        <f t="shared" si="85"/>
        <v>7.3754112950272883E-3</v>
      </c>
      <c r="R322" s="2">
        <f t="shared" si="86"/>
        <v>6.2957392987854216E-2</v>
      </c>
      <c r="S322" s="2">
        <f t="shared" si="87"/>
        <v>9.7930650459773297E-2</v>
      </c>
      <c r="T322" s="2">
        <v>6.9871543059861096E-2</v>
      </c>
      <c r="U322" s="2">
        <v>6.3120090517575396E-3</v>
      </c>
      <c r="V322" s="3">
        <f t="shared" ref="V322:V331" si="88">I322/J322</f>
        <v>8.0657720545820964E-3</v>
      </c>
      <c r="W322">
        <v>3</v>
      </c>
      <c r="X322">
        <f t="shared" si="72"/>
        <v>1.0986122886681098</v>
      </c>
    </row>
    <row r="323" spans="1:24" x14ac:dyDescent="0.45">
      <c r="A323" t="s">
        <v>24</v>
      </c>
      <c r="B323">
        <v>22</v>
      </c>
      <c r="C323">
        <v>2016</v>
      </c>
      <c r="D323">
        <v>105782009</v>
      </c>
      <c r="E323">
        <v>5681486</v>
      </c>
      <c r="F323">
        <v>565211</v>
      </c>
      <c r="G323">
        <v>188040</v>
      </c>
      <c r="H323">
        <v>2308865</v>
      </c>
      <c r="I323">
        <v>349873</v>
      </c>
      <c r="J323">
        <v>46642977</v>
      </c>
      <c r="K323">
        <v>3.8729071718276198</v>
      </c>
      <c r="L323">
        <v>18.127194558590599</v>
      </c>
      <c r="M323">
        <v>24.4994330579914</v>
      </c>
      <c r="N323" s="2">
        <f t="shared" si="83"/>
        <v>1.1927549187593534</v>
      </c>
      <c r="O323" s="2">
        <v>0.47810000000000002</v>
      </c>
      <c r="P323" s="2">
        <f t="shared" si="84"/>
        <v>18.476891015669821</v>
      </c>
      <c r="Q323" s="2">
        <f t="shared" si="85"/>
        <v>5.3431675702056295E-3</v>
      </c>
      <c r="R323" s="2">
        <f t="shared" si="86"/>
        <v>5.3709378879351781E-2</v>
      </c>
      <c r="S323" s="2">
        <f t="shared" si="87"/>
        <v>8.1442613578533177E-2</v>
      </c>
      <c r="T323" s="2">
        <v>6.6900089266042351E-2</v>
      </c>
      <c r="U323" s="2">
        <v>2.6682481696908199E-2</v>
      </c>
      <c r="V323" s="3">
        <f t="shared" si="88"/>
        <v>7.5010863907764725E-3</v>
      </c>
      <c r="W323">
        <v>54</v>
      </c>
      <c r="X323">
        <f t="shared" ref="X323:X386" si="89">LN(W323)</f>
        <v>3.9889840465642745</v>
      </c>
    </row>
    <row r="324" spans="1:24" x14ac:dyDescent="0.45">
      <c r="A324" t="s">
        <v>24</v>
      </c>
      <c r="B324">
        <v>22</v>
      </c>
      <c r="C324">
        <v>2017</v>
      </c>
      <c r="D324">
        <v>124118747</v>
      </c>
      <c r="E324">
        <v>6676717</v>
      </c>
      <c r="F324">
        <v>963609</v>
      </c>
      <c r="G324">
        <v>437302</v>
      </c>
      <c r="H324">
        <v>3609726</v>
      </c>
      <c r="I324">
        <v>694556</v>
      </c>
      <c r="J324">
        <v>63422643</v>
      </c>
      <c r="K324">
        <v>3.4878659520670099</v>
      </c>
      <c r="L324">
        <v>19.9794949903735</v>
      </c>
      <c r="M324">
        <v>24.408110955118602</v>
      </c>
      <c r="N324" s="2">
        <f t="shared" si="83"/>
        <v>1.234284060376579</v>
      </c>
      <c r="O324" s="2">
        <v>0.50429999999999997</v>
      </c>
      <c r="P324" s="2">
        <f t="shared" si="84"/>
        <v>18.63674930242421</v>
      </c>
      <c r="Q324" s="2">
        <f t="shared" si="85"/>
        <v>7.7636056058477615E-3</v>
      </c>
      <c r="R324" s="2">
        <f t="shared" si="86"/>
        <v>5.3792977784411569E-2</v>
      </c>
      <c r="S324" s="2">
        <f t="shared" si="87"/>
        <v>0.12114548306436555</v>
      </c>
      <c r="T324" s="2">
        <v>6.9401903735920603E-2</v>
      </c>
      <c r="U324" s="2">
        <v>3.5202568881161703E-2</v>
      </c>
      <c r="V324" s="3">
        <f t="shared" si="88"/>
        <v>1.0951230777310873E-2</v>
      </c>
      <c r="W324">
        <v>59</v>
      </c>
      <c r="X324">
        <f t="shared" si="89"/>
        <v>4.0775374439057197</v>
      </c>
    </row>
    <row r="325" spans="1:24" x14ac:dyDescent="0.45">
      <c r="A325" t="s">
        <v>24</v>
      </c>
      <c r="B325">
        <v>22</v>
      </c>
      <c r="C325">
        <v>2018</v>
      </c>
      <c r="D325">
        <v>136179403</v>
      </c>
      <c r="E325">
        <v>10621685</v>
      </c>
      <c r="F325">
        <v>1805238</v>
      </c>
      <c r="G325">
        <v>1249023</v>
      </c>
      <c r="H325">
        <v>5626800</v>
      </c>
      <c r="I325">
        <v>861334</v>
      </c>
      <c r="J325">
        <v>77185148</v>
      </c>
      <c r="K325">
        <v>3.9598095587873798</v>
      </c>
      <c r="L325">
        <v>20.511087535654799</v>
      </c>
      <c r="M325">
        <v>25.6092485278987</v>
      </c>
      <c r="N325" s="2">
        <f t="shared" si="83"/>
        <v>1.6279747048887454</v>
      </c>
      <c r="P325" s="2">
        <f t="shared" si="84"/>
        <v>18.729483714105829</v>
      </c>
      <c r="Q325" s="2">
        <f t="shared" si="85"/>
        <v>1.3256321882979616E-2</v>
      </c>
      <c r="R325" s="2">
        <f t="shared" si="86"/>
        <v>7.7997735090672995E-2</v>
      </c>
      <c r="S325" s="2">
        <f t="shared" si="87"/>
        <v>0.22197750053316273</v>
      </c>
      <c r="T325" s="2">
        <v>7.4650068557275087E-2</v>
      </c>
      <c r="U325" s="2">
        <v>3.5396280594264098E-2</v>
      </c>
      <c r="V325" s="3">
        <f t="shared" si="88"/>
        <v>1.1159323034529907E-2</v>
      </c>
      <c r="W325">
        <v>59</v>
      </c>
      <c r="X325">
        <f t="shared" si="89"/>
        <v>4.0775374439057197</v>
      </c>
    </row>
    <row r="326" spans="1:24" x14ac:dyDescent="0.45">
      <c r="A326" t="s">
        <v>24</v>
      </c>
      <c r="B326">
        <v>22</v>
      </c>
      <c r="C326">
        <v>2019</v>
      </c>
      <c r="D326">
        <v>164438534</v>
      </c>
      <c r="E326">
        <v>13074679</v>
      </c>
      <c r="F326">
        <v>3093842</v>
      </c>
      <c r="G326">
        <v>2836141</v>
      </c>
      <c r="H326">
        <v>8469463</v>
      </c>
      <c r="I326">
        <v>1235035</v>
      </c>
      <c r="J326">
        <v>95643700</v>
      </c>
      <c r="K326">
        <v>4.0230286341449499</v>
      </c>
      <c r="L326">
        <v>21.918245362198</v>
      </c>
      <c r="M326">
        <v>26.1660509841828</v>
      </c>
      <c r="N326" s="2">
        <f t="shared" si="83"/>
        <v>1.7026118892558344</v>
      </c>
      <c r="O326" s="2">
        <v>0.68659999999999999</v>
      </c>
      <c r="P326" s="2">
        <f t="shared" si="84"/>
        <v>18.918047404848398</v>
      </c>
      <c r="Q326" s="2">
        <f t="shared" si="85"/>
        <v>1.8814580285664673E-2</v>
      </c>
      <c r="R326" s="2">
        <f t="shared" si="86"/>
        <v>7.9511040885343817E-2</v>
      </c>
      <c r="S326" s="2">
        <f t="shared" si="87"/>
        <v>0.33486668517236573</v>
      </c>
      <c r="T326" s="2">
        <v>7.3592627010500566E-2</v>
      </c>
      <c r="U326" s="2">
        <v>2.7958236745225001E-2</v>
      </c>
      <c r="V326" s="3">
        <f t="shared" si="88"/>
        <v>1.2912873508657653E-2</v>
      </c>
      <c r="W326">
        <v>28</v>
      </c>
      <c r="X326">
        <f t="shared" si="89"/>
        <v>3.3322045101752038</v>
      </c>
    </row>
    <row r="327" spans="1:24" x14ac:dyDescent="0.45">
      <c r="A327" t="s">
        <v>24</v>
      </c>
      <c r="B327">
        <v>22</v>
      </c>
      <c r="C327">
        <v>2020</v>
      </c>
      <c r="D327">
        <v>206314594</v>
      </c>
      <c r="E327">
        <v>16744398</v>
      </c>
      <c r="F327">
        <v>3510189</v>
      </c>
      <c r="G327">
        <v>2750132</v>
      </c>
      <c r="H327">
        <v>10369189</v>
      </c>
      <c r="I327">
        <v>1420449</v>
      </c>
      <c r="J327">
        <v>119990991</v>
      </c>
      <c r="K327">
        <v>4.0399838659549498</v>
      </c>
      <c r="L327">
        <v>23.747196863397502</v>
      </c>
      <c r="M327">
        <v>26.4783455246633</v>
      </c>
      <c r="N327" s="2">
        <f t="shared" si="83"/>
        <v>1.701061659617459</v>
      </c>
      <c r="O327" s="2">
        <v>0.77039999999999997</v>
      </c>
      <c r="P327" s="2">
        <f t="shared" si="84"/>
        <v>19.1449127171778</v>
      </c>
      <c r="Q327" s="2">
        <f t="shared" si="85"/>
        <v>1.7013769757848542E-2</v>
      </c>
      <c r="R327" s="2">
        <f t="shared" si="86"/>
        <v>8.1159542208633098E-2</v>
      </c>
      <c r="S327" s="2">
        <f t="shared" si="87"/>
        <v>0.26522151346648226</v>
      </c>
      <c r="T327" s="2">
        <v>2.8654132091227212E-2</v>
      </c>
      <c r="U327" s="2">
        <v>3.2209343665251404E-2</v>
      </c>
      <c r="V327" s="3">
        <f t="shared" si="88"/>
        <v>1.1837963735127415E-2</v>
      </c>
      <c r="W327">
        <v>35</v>
      </c>
      <c r="X327">
        <f t="shared" si="89"/>
        <v>3.5553480614894135</v>
      </c>
    </row>
    <row r="328" spans="1:24" x14ac:dyDescent="0.45">
      <c r="A328" t="s">
        <v>24</v>
      </c>
      <c r="B328">
        <v>22</v>
      </c>
      <c r="C328">
        <v>2021</v>
      </c>
      <c r="D328">
        <v>292827078</v>
      </c>
      <c r="E328">
        <v>25987070</v>
      </c>
      <c r="F328">
        <v>4829179</v>
      </c>
      <c r="G328">
        <v>3571359</v>
      </c>
      <c r="H328">
        <v>13517408</v>
      </c>
      <c r="I328">
        <v>1156836</v>
      </c>
      <c r="J328">
        <v>141227857</v>
      </c>
      <c r="K328">
        <v>2.9295233226858799</v>
      </c>
      <c r="L328">
        <v>25.554737309897</v>
      </c>
      <c r="M328">
        <v>27.207097804316199</v>
      </c>
      <c r="N328" s="2">
        <f t="shared" si="83"/>
        <v>1.770542390893115</v>
      </c>
      <c r="P328" s="2">
        <f t="shared" si="84"/>
        <v>19.495092815283662</v>
      </c>
      <c r="Q328" s="2">
        <f t="shared" si="85"/>
        <v>1.6491572545077268E-2</v>
      </c>
      <c r="R328" s="2">
        <f t="shared" si="86"/>
        <v>8.8745447236269592E-2</v>
      </c>
      <c r="S328" s="2">
        <f t="shared" si="87"/>
        <v>0.26420442439852376</v>
      </c>
      <c r="T328" s="2">
        <v>2.5615641067098523E-2</v>
      </c>
      <c r="U328" s="2">
        <v>1.8347155481044399E-2</v>
      </c>
      <c r="V328" s="3">
        <f t="shared" si="88"/>
        <v>8.1912734822564073E-3</v>
      </c>
      <c r="W328">
        <v>35</v>
      </c>
      <c r="X328">
        <f t="shared" si="89"/>
        <v>3.5553480614894135</v>
      </c>
    </row>
    <row r="329" spans="1:24" x14ac:dyDescent="0.45">
      <c r="A329" t="s">
        <v>24</v>
      </c>
      <c r="B329">
        <v>22</v>
      </c>
      <c r="C329">
        <v>2022</v>
      </c>
      <c r="D329">
        <v>328634007</v>
      </c>
      <c r="E329">
        <v>32238981</v>
      </c>
      <c r="F329">
        <v>6260744</v>
      </c>
      <c r="G329">
        <v>4230592</v>
      </c>
      <c r="H329">
        <v>15617189</v>
      </c>
      <c r="I329">
        <v>1357450</v>
      </c>
      <c r="J329">
        <v>160992963</v>
      </c>
      <c r="K329">
        <v>3.0268176838110499</v>
      </c>
      <c r="L329">
        <v>19.886983507523201</v>
      </c>
      <c r="M329">
        <v>27.746488205671799</v>
      </c>
      <c r="N329" s="2">
        <f t="shared" si="83"/>
        <v>1.8777889400080225</v>
      </c>
      <c r="O329" s="2">
        <v>0.71460000000000001</v>
      </c>
      <c r="P329" s="2">
        <f t="shared" si="84"/>
        <v>19.610455248778699</v>
      </c>
      <c r="Q329" s="2">
        <f t="shared" si="85"/>
        <v>1.90508099181592E-2</v>
      </c>
      <c r="R329" s="2">
        <f t="shared" si="86"/>
        <v>9.8099954092699851E-2</v>
      </c>
      <c r="S329" s="2">
        <f t="shared" si="87"/>
        <v>0.27089330864856664</v>
      </c>
      <c r="T329" s="2">
        <v>8.0197923744283764E-2</v>
      </c>
      <c r="U329" s="2">
        <v>3.1565074996312899E-2</v>
      </c>
      <c r="V329" s="3">
        <f t="shared" si="88"/>
        <v>8.4317349945289225E-3</v>
      </c>
      <c r="W329">
        <v>24</v>
      </c>
      <c r="X329">
        <f t="shared" si="89"/>
        <v>3.1780538303479458</v>
      </c>
    </row>
    <row r="330" spans="1:24" x14ac:dyDescent="0.45">
      <c r="A330" t="s">
        <v>24</v>
      </c>
      <c r="B330">
        <v>22</v>
      </c>
      <c r="C330">
        <v>2023</v>
      </c>
      <c r="D330">
        <v>356633972</v>
      </c>
      <c r="E330">
        <v>32742917</v>
      </c>
      <c r="F330">
        <v>4463325</v>
      </c>
      <c r="G330">
        <v>3808929</v>
      </c>
      <c r="H330">
        <v>16236757</v>
      </c>
      <c r="I330">
        <v>4200347</v>
      </c>
      <c r="J330">
        <v>205262092</v>
      </c>
      <c r="K330">
        <v>3.07187771218757</v>
      </c>
      <c r="L330">
        <v>19.004474740999601</v>
      </c>
      <c r="M330">
        <v>27.341668248477099</v>
      </c>
      <c r="N330" s="2">
        <f t="shared" si="83"/>
        <v>1.7618491080168455</v>
      </c>
      <c r="P330" s="2">
        <f t="shared" si="84"/>
        <v>19.692220525260694</v>
      </c>
      <c r="Q330" s="2">
        <f t="shared" si="85"/>
        <v>1.2515142556301396E-2</v>
      </c>
      <c r="R330" s="2">
        <f t="shared" si="86"/>
        <v>9.181098709239062E-2</v>
      </c>
      <c r="S330" s="2">
        <f t="shared" si="87"/>
        <v>0.23458680819082284</v>
      </c>
      <c r="T330" s="2">
        <v>5.0499999999999996E-2</v>
      </c>
      <c r="U330" s="2">
        <v>3.2500000000000001E-2</v>
      </c>
      <c r="V330" s="3">
        <f t="shared" si="88"/>
        <v>2.0463335236785951E-2</v>
      </c>
      <c r="W330">
        <v>34</v>
      </c>
      <c r="X330">
        <f t="shared" si="89"/>
        <v>3.5263605246161616</v>
      </c>
    </row>
    <row r="331" spans="1:24" x14ac:dyDescent="0.45">
      <c r="A331" t="s">
        <v>24</v>
      </c>
      <c r="B331">
        <v>22</v>
      </c>
      <c r="C331">
        <v>2024</v>
      </c>
      <c r="D331">
        <v>418028391</v>
      </c>
      <c r="E331">
        <v>37594469</v>
      </c>
      <c r="F331">
        <v>6071634</v>
      </c>
      <c r="G331">
        <v>5131611</v>
      </c>
      <c r="H331">
        <v>18038267</v>
      </c>
      <c r="I331">
        <v>3803256</v>
      </c>
      <c r="J331">
        <v>250331368</v>
      </c>
      <c r="K331">
        <v>3.0966938195511502</v>
      </c>
      <c r="L331">
        <v>27.889422983664101</v>
      </c>
      <c r="M331">
        <v>27.243425052219401</v>
      </c>
      <c r="N331" s="2">
        <f t="shared" si="83"/>
        <v>1.763105307193287</v>
      </c>
      <c r="P331" s="2">
        <f t="shared" si="84"/>
        <v>19.851059909235133</v>
      </c>
      <c r="Q331" s="2">
        <f t="shared" si="85"/>
        <v>1.4524453675205041E-2</v>
      </c>
      <c r="R331" s="2">
        <f t="shared" si="86"/>
        <v>8.9932812721325431E-2</v>
      </c>
      <c r="S331" s="2">
        <f t="shared" si="87"/>
        <v>0.28448470132967874</v>
      </c>
      <c r="T331" s="2">
        <v>7.0900000000000005E-2</v>
      </c>
      <c r="U331" s="2">
        <v>3.6299999999999999E-2</v>
      </c>
      <c r="V331" s="3">
        <f t="shared" si="88"/>
        <v>1.5192886254670249E-2</v>
      </c>
      <c r="W331">
        <v>0</v>
      </c>
      <c r="X331" t="e">
        <f t="shared" si="89"/>
        <v>#NUM!</v>
      </c>
    </row>
    <row r="332" spans="1:24" x14ac:dyDescent="0.45">
      <c r="A332" t="s">
        <v>25</v>
      </c>
      <c r="B332">
        <v>23</v>
      </c>
      <c r="C332">
        <v>2010</v>
      </c>
      <c r="D332">
        <v>24082916</v>
      </c>
      <c r="E332">
        <v>3395466</v>
      </c>
      <c r="F332">
        <v>266462</v>
      </c>
      <c r="G332">
        <v>199349</v>
      </c>
      <c r="H332">
        <v>731218</v>
      </c>
      <c r="J332">
        <v>13290473</v>
      </c>
      <c r="K332">
        <v>3.2718982631890698</v>
      </c>
      <c r="L332">
        <v>9.7075901186610398</v>
      </c>
      <c r="M332">
        <v>17.334389639963199</v>
      </c>
      <c r="N332" s="2">
        <f t="shared" ref="N332:N346" si="90">LN((Q332+R332)/(_xlfn.STDEV.S($Q$332:$Q$346)))</f>
        <v>3.7781721505451582</v>
      </c>
      <c r="O332" s="2">
        <v>0.56899999999999995</v>
      </c>
      <c r="P332" s="2">
        <f t="shared" si="84"/>
        <v>16.99701326741884</v>
      </c>
      <c r="Q332" s="2">
        <f t="shared" si="85"/>
        <v>1.1064357821120998E-2</v>
      </c>
      <c r="R332" s="2">
        <f t="shared" si="86"/>
        <v>0.14099065079992804</v>
      </c>
      <c r="S332" s="2">
        <f t="shared" si="87"/>
        <v>0.27262594739188589</v>
      </c>
      <c r="T332" s="2">
        <v>6.4232448223948205E-2</v>
      </c>
      <c r="U332" s="2">
        <v>9.20746648778413E-2</v>
      </c>
      <c r="W332">
        <v>0</v>
      </c>
      <c r="X332" t="e">
        <f t="shared" si="89"/>
        <v>#NUM!</v>
      </c>
    </row>
    <row r="333" spans="1:24" x14ac:dyDescent="0.45">
      <c r="A333" t="s">
        <v>25</v>
      </c>
      <c r="B333">
        <v>23</v>
      </c>
      <c r="C333">
        <v>2011</v>
      </c>
      <c r="D333">
        <v>22513098</v>
      </c>
      <c r="E333">
        <v>3576097</v>
      </c>
      <c r="F333">
        <v>248061</v>
      </c>
      <c r="G333">
        <v>158040</v>
      </c>
      <c r="H333">
        <v>654216</v>
      </c>
      <c r="J333">
        <v>11578215</v>
      </c>
      <c r="K333">
        <v>3.59352181546691</v>
      </c>
      <c r="L333">
        <v>10.9472107468528</v>
      </c>
      <c r="M333">
        <v>19.912794817213701</v>
      </c>
      <c r="N333" s="2">
        <f t="shared" si="90"/>
        <v>3.8889261144853058</v>
      </c>
      <c r="P333" s="2">
        <f t="shared" si="84"/>
        <v>16.929607831134103</v>
      </c>
      <c r="Q333" s="2">
        <f t="shared" si="85"/>
        <v>1.1018519086089352E-2</v>
      </c>
      <c r="R333" s="2">
        <f t="shared" si="86"/>
        <v>0.15884517537302062</v>
      </c>
      <c r="S333" s="2">
        <f t="shared" si="87"/>
        <v>0.24157159103415385</v>
      </c>
      <c r="T333" s="2">
        <v>6.4131688968168274E-2</v>
      </c>
      <c r="U333" s="2">
        <v>0.18677732277070699</v>
      </c>
      <c r="W333">
        <v>0</v>
      </c>
      <c r="X333" t="e">
        <f t="shared" si="89"/>
        <v>#NUM!</v>
      </c>
    </row>
    <row r="334" spans="1:24" x14ac:dyDescent="0.45">
      <c r="A334" t="s">
        <v>25</v>
      </c>
      <c r="B334">
        <v>23</v>
      </c>
      <c r="C334">
        <v>2012</v>
      </c>
      <c r="D334">
        <v>24608649</v>
      </c>
      <c r="E334">
        <v>3533053</v>
      </c>
      <c r="F334">
        <v>164082</v>
      </c>
      <c r="G334">
        <v>219549</v>
      </c>
      <c r="H334">
        <v>536450</v>
      </c>
      <c r="J334">
        <v>12890233</v>
      </c>
      <c r="K334">
        <v>3.1504539182237998</v>
      </c>
      <c r="L334">
        <v>12.0614890394782</v>
      </c>
      <c r="M334">
        <v>20.9770541106558</v>
      </c>
      <c r="N334" s="2">
        <f t="shared" si="90"/>
        <v>3.7661453041973219</v>
      </c>
      <c r="O334" s="2">
        <v>0.309</v>
      </c>
      <c r="P334" s="2">
        <f t="shared" si="84"/>
        <v>17.018608524476793</v>
      </c>
      <c r="Q334" s="2">
        <f t="shared" si="85"/>
        <v>6.6676557498138158E-3</v>
      </c>
      <c r="R334" s="2">
        <f t="shared" si="86"/>
        <v>0.14356956369283011</v>
      </c>
      <c r="S334" s="2">
        <f t="shared" si="87"/>
        <v>0.40926274582906141</v>
      </c>
      <c r="T334" s="2">
        <v>5.5045447041188994E-2</v>
      </c>
      <c r="U334" s="2">
        <v>9.0947033955719195E-2</v>
      </c>
      <c r="W334">
        <v>6</v>
      </c>
      <c r="X334">
        <f t="shared" si="89"/>
        <v>1.791759469228055</v>
      </c>
    </row>
    <row r="335" spans="1:24" x14ac:dyDescent="0.45">
      <c r="A335" t="s">
        <v>25</v>
      </c>
      <c r="B335">
        <v>23</v>
      </c>
      <c r="C335">
        <v>2013</v>
      </c>
      <c r="D335">
        <v>27032632</v>
      </c>
      <c r="E335">
        <v>3588463</v>
      </c>
      <c r="F335">
        <v>60115</v>
      </c>
      <c r="G335">
        <v>0</v>
      </c>
      <c r="H335">
        <v>449556</v>
      </c>
      <c r="J335">
        <v>14388442</v>
      </c>
      <c r="K335">
        <v>3.6926464082046402</v>
      </c>
      <c r="L335">
        <v>12.840142796842899</v>
      </c>
      <c r="M335">
        <v>22.1573299611807</v>
      </c>
      <c r="N335" s="2">
        <f t="shared" si="90"/>
        <v>3.6589778491348657</v>
      </c>
      <c r="P335" s="2">
        <f t="shared" si="84"/>
        <v>17.112555286801097</v>
      </c>
      <c r="Q335" s="2">
        <f t="shared" si="85"/>
        <v>2.2237938207422792E-3</v>
      </c>
      <c r="R335" s="2">
        <f t="shared" si="86"/>
        <v>0.13274560168613991</v>
      </c>
      <c r="S335" s="2">
        <f t="shared" si="87"/>
        <v>0</v>
      </c>
      <c r="T335" s="2">
        <v>5.5535108102607179E-2</v>
      </c>
      <c r="U335" s="2">
        <v>6.5926747589919191E-2</v>
      </c>
      <c r="W335">
        <v>0</v>
      </c>
      <c r="X335" t="e">
        <f t="shared" si="89"/>
        <v>#NUM!</v>
      </c>
    </row>
    <row r="336" spans="1:24" x14ac:dyDescent="0.45">
      <c r="A336" t="s">
        <v>25</v>
      </c>
      <c r="B336">
        <v>23</v>
      </c>
      <c r="C336">
        <v>2014</v>
      </c>
      <c r="D336">
        <v>35590512</v>
      </c>
      <c r="E336">
        <v>3635957</v>
      </c>
      <c r="F336">
        <v>47497</v>
      </c>
      <c r="G336">
        <v>21371</v>
      </c>
      <c r="H336">
        <v>420152</v>
      </c>
      <c r="J336">
        <v>15821971</v>
      </c>
      <c r="K336">
        <v>3.8792484082456702</v>
      </c>
      <c r="L336">
        <v>14.6258764318214</v>
      </c>
      <c r="M336">
        <v>22.979955992336901</v>
      </c>
      <c r="N336" s="2">
        <f t="shared" si="90"/>
        <v>3.3934568887858325</v>
      </c>
      <c r="O336" s="2">
        <v>0.46129999999999999</v>
      </c>
      <c r="P336" s="2">
        <f t="shared" si="84"/>
        <v>17.387589643446397</v>
      </c>
      <c r="Q336" s="2">
        <f t="shared" si="85"/>
        <v>1.3345410709460993E-3</v>
      </c>
      <c r="R336" s="2">
        <f t="shared" si="86"/>
        <v>0.1021608511841583</v>
      </c>
      <c r="S336" s="2">
        <f t="shared" si="87"/>
        <v>5.0864925074734856E-2</v>
      </c>
      <c r="T336" s="2">
        <v>6.4222431211856723E-2</v>
      </c>
      <c r="U336" s="2">
        <v>4.0845544663761703E-2</v>
      </c>
      <c r="W336">
        <v>21</v>
      </c>
      <c r="X336">
        <f t="shared" si="89"/>
        <v>3.044522437723423</v>
      </c>
    </row>
    <row r="337" spans="1:24" x14ac:dyDescent="0.45">
      <c r="A337" t="s">
        <v>25</v>
      </c>
      <c r="B337">
        <v>23</v>
      </c>
      <c r="C337">
        <v>2015</v>
      </c>
      <c r="D337">
        <v>41878179</v>
      </c>
      <c r="E337">
        <v>3919558</v>
      </c>
      <c r="F337">
        <v>81967</v>
      </c>
      <c r="G337">
        <v>0</v>
      </c>
      <c r="H337">
        <v>875323</v>
      </c>
      <c r="I337">
        <v>458780</v>
      </c>
      <c r="J337">
        <v>20267712</v>
      </c>
      <c r="K337">
        <v>3.7957611751290998</v>
      </c>
      <c r="L337">
        <v>15.8219673058815</v>
      </c>
      <c r="M337">
        <v>24.006275960852001</v>
      </c>
      <c r="N337" s="2">
        <f t="shared" si="90"/>
        <v>3.313595710108852</v>
      </c>
      <c r="O337" s="2">
        <v>0.53469999999999995</v>
      </c>
      <c r="P337" s="2">
        <f t="shared" si="84"/>
        <v>17.55027546164591</v>
      </c>
      <c r="Q337" s="2">
        <f t="shared" si="85"/>
        <v>1.9572723064200095E-3</v>
      </c>
      <c r="R337" s="2">
        <f t="shared" si="86"/>
        <v>9.3594279732172686E-2</v>
      </c>
      <c r="S337" s="2">
        <f t="shared" si="87"/>
        <v>0</v>
      </c>
      <c r="T337" s="2">
        <v>6.9871543059861096E-2</v>
      </c>
      <c r="U337" s="2">
        <v>6.3120090517575396E-3</v>
      </c>
      <c r="V337" s="3">
        <f>I337/J337</f>
        <v>2.2636003511397832E-2</v>
      </c>
      <c r="W337">
        <v>0</v>
      </c>
      <c r="X337" t="e">
        <f t="shared" si="89"/>
        <v>#NUM!</v>
      </c>
    </row>
    <row r="338" spans="1:24" x14ac:dyDescent="0.45">
      <c r="A338" t="s">
        <v>25</v>
      </c>
      <c r="B338">
        <v>23</v>
      </c>
      <c r="C338">
        <v>2016</v>
      </c>
      <c r="D338">
        <v>61465192</v>
      </c>
      <c r="E338">
        <v>4017652</v>
      </c>
      <c r="F338">
        <v>99430</v>
      </c>
      <c r="G338">
        <v>120949</v>
      </c>
      <c r="H338">
        <v>954416</v>
      </c>
      <c r="I338">
        <v>651026</v>
      </c>
      <c r="J338">
        <v>30415690</v>
      </c>
      <c r="K338">
        <v>3.8729071718276198</v>
      </c>
      <c r="L338">
        <v>18.127194558590599</v>
      </c>
      <c r="M338">
        <v>24.4994330579914</v>
      </c>
      <c r="N338" s="2">
        <f t="shared" si="90"/>
        <v>2.9583587044895472</v>
      </c>
      <c r="O338" s="2">
        <v>0.4098</v>
      </c>
      <c r="P338" s="2">
        <f t="shared" si="84"/>
        <v>17.933981588807651</v>
      </c>
      <c r="Q338" s="2">
        <f t="shared" si="85"/>
        <v>1.6176635387391289E-3</v>
      </c>
      <c r="R338" s="2">
        <f t="shared" si="86"/>
        <v>6.5364670137205455E-2</v>
      </c>
      <c r="S338" s="2">
        <f t="shared" si="87"/>
        <v>0.12672566260414747</v>
      </c>
      <c r="T338" s="2">
        <v>6.6900089266042351E-2</v>
      </c>
      <c r="U338" s="2">
        <v>2.6682481696908199E-2</v>
      </c>
      <c r="V338" s="3">
        <f>I338/J338</f>
        <v>2.1404281803240367E-2</v>
      </c>
      <c r="W338">
        <v>7</v>
      </c>
      <c r="X338">
        <f t="shared" si="89"/>
        <v>1.9459101490553132</v>
      </c>
    </row>
    <row r="339" spans="1:24" x14ac:dyDescent="0.45">
      <c r="A339" t="s">
        <v>25</v>
      </c>
      <c r="B339">
        <v>23</v>
      </c>
      <c r="C339">
        <v>2017</v>
      </c>
      <c r="D339">
        <v>64434160</v>
      </c>
      <c r="E339">
        <v>4116453</v>
      </c>
      <c r="F339">
        <v>98802</v>
      </c>
      <c r="G339">
        <v>0</v>
      </c>
      <c r="H339">
        <v>988656</v>
      </c>
      <c r="I339">
        <v>915724</v>
      </c>
      <c r="J339">
        <v>34226236</v>
      </c>
      <c r="K339">
        <v>3.4878659520670099</v>
      </c>
      <c r="L339">
        <v>19.9794949903735</v>
      </c>
      <c r="M339">
        <v>24.408110955118602</v>
      </c>
      <c r="N339" s="2">
        <f t="shared" si="90"/>
        <v>2.9347512359103121</v>
      </c>
      <c r="O339" s="2">
        <v>0.36749999999999999</v>
      </c>
      <c r="P339" s="2">
        <f t="shared" si="84"/>
        <v>17.981154485226391</v>
      </c>
      <c r="Q339" s="2">
        <f t="shared" si="85"/>
        <v>1.5333791889271158E-3</v>
      </c>
      <c r="R339" s="2">
        <f t="shared" si="86"/>
        <v>6.3886190182350477E-2</v>
      </c>
      <c r="S339" s="2">
        <f t="shared" si="87"/>
        <v>0</v>
      </c>
      <c r="T339" s="2">
        <v>6.9401903735920603E-2</v>
      </c>
      <c r="U339" s="2">
        <v>3.5202568881161703E-2</v>
      </c>
      <c r="V339" s="3">
        <f>I339/J339</f>
        <v>2.6755030848265055E-2</v>
      </c>
      <c r="W339">
        <v>9</v>
      </c>
      <c r="X339">
        <f t="shared" si="89"/>
        <v>2.1972245773362196</v>
      </c>
    </row>
    <row r="340" spans="1:24" x14ac:dyDescent="0.45">
      <c r="A340" t="s">
        <v>25</v>
      </c>
      <c r="B340">
        <v>23</v>
      </c>
      <c r="C340">
        <v>2018</v>
      </c>
      <c r="D340">
        <v>71291316</v>
      </c>
      <c r="E340">
        <v>4234869</v>
      </c>
      <c r="F340">
        <v>118416</v>
      </c>
      <c r="G340">
        <v>69374</v>
      </c>
      <c r="H340">
        <v>1179297</v>
      </c>
      <c r="J340">
        <v>37916118</v>
      </c>
      <c r="K340">
        <v>3.9598095587873798</v>
      </c>
      <c r="L340">
        <v>20.511087535654799</v>
      </c>
      <c r="M340">
        <v>25.6092485278987</v>
      </c>
      <c r="N340" s="2">
        <f t="shared" si="90"/>
        <v>2.8658412830718913</v>
      </c>
      <c r="O340" s="2">
        <v>0.50070000000000003</v>
      </c>
      <c r="P340" s="2">
        <f t="shared" si="84"/>
        <v>18.082285082735467</v>
      </c>
      <c r="Q340" s="2">
        <f t="shared" si="85"/>
        <v>1.6610157680354786E-3</v>
      </c>
      <c r="R340" s="2">
        <f t="shared" si="86"/>
        <v>5.9402312057193617E-2</v>
      </c>
      <c r="S340" s="2">
        <f t="shared" si="87"/>
        <v>5.8826572101853901E-2</v>
      </c>
      <c r="T340" s="2">
        <v>7.4650068557275087E-2</v>
      </c>
      <c r="U340" s="2">
        <v>3.5396280594264098E-2</v>
      </c>
      <c r="W340">
        <v>5</v>
      </c>
      <c r="X340">
        <f t="shared" si="89"/>
        <v>1.6094379124341003</v>
      </c>
    </row>
    <row r="341" spans="1:24" x14ac:dyDescent="0.45">
      <c r="A341" t="s">
        <v>25</v>
      </c>
      <c r="B341">
        <v>23</v>
      </c>
      <c r="C341">
        <v>2019</v>
      </c>
      <c r="D341">
        <v>76446764</v>
      </c>
      <c r="E341">
        <v>4442267</v>
      </c>
      <c r="F341">
        <v>207398</v>
      </c>
      <c r="G341">
        <v>223921</v>
      </c>
      <c r="H341">
        <v>1243085</v>
      </c>
      <c r="J341">
        <v>42625273</v>
      </c>
      <c r="K341">
        <v>4.0230286341449499</v>
      </c>
      <c r="L341">
        <v>21.918245362198</v>
      </c>
      <c r="M341">
        <v>26.1660509841828</v>
      </c>
      <c r="N341" s="2">
        <f t="shared" si="90"/>
        <v>2.8618856461611615</v>
      </c>
      <c r="P341" s="2">
        <f t="shared" si="84"/>
        <v>18.152105161124314</v>
      </c>
      <c r="Q341" s="2">
        <f t="shared" si="85"/>
        <v>2.7129729127579553E-3</v>
      </c>
      <c r="R341" s="2">
        <f t="shared" si="86"/>
        <v>5.810928766062616E-2</v>
      </c>
      <c r="S341" s="2">
        <f t="shared" si="87"/>
        <v>0.18013329740122358</v>
      </c>
      <c r="T341" s="2">
        <v>7.3592627010500566E-2</v>
      </c>
      <c r="U341" s="2">
        <v>2.7958236745225001E-2</v>
      </c>
      <c r="W341">
        <v>11</v>
      </c>
      <c r="X341">
        <f t="shared" si="89"/>
        <v>2.3978952727983707</v>
      </c>
    </row>
    <row r="342" spans="1:24" x14ac:dyDescent="0.45">
      <c r="A342" t="s">
        <v>25</v>
      </c>
      <c r="B342">
        <v>23</v>
      </c>
      <c r="C342">
        <v>2020</v>
      </c>
      <c r="D342">
        <v>86529350</v>
      </c>
      <c r="E342">
        <v>5723928</v>
      </c>
      <c r="F342">
        <v>332016</v>
      </c>
      <c r="G342">
        <v>470948</v>
      </c>
      <c r="H342">
        <v>1781728</v>
      </c>
      <c r="I342">
        <v>1111841</v>
      </c>
      <c r="J342">
        <v>48378543</v>
      </c>
      <c r="K342">
        <v>4.0399838659549498</v>
      </c>
      <c r="L342">
        <v>23.747196863397502</v>
      </c>
      <c r="M342">
        <v>26.4783455246633</v>
      </c>
      <c r="N342" s="2">
        <f t="shared" si="90"/>
        <v>3.0022416816477335</v>
      </c>
      <c r="O342" s="2">
        <v>0.59570000000000001</v>
      </c>
      <c r="P342" s="2">
        <f t="shared" si="84"/>
        <v>18.275994220709105</v>
      </c>
      <c r="Q342" s="2">
        <f t="shared" si="85"/>
        <v>3.8370333303093113E-3</v>
      </c>
      <c r="R342" s="2">
        <f t="shared" si="86"/>
        <v>6.6150132873990158E-2</v>
      </c>
      <c r="S342" s="2">
        <f t="shared" si="87"/>
        <v>0.26432092889599312</v>
      </c>
      <c r="T342" s="2">
        <v>2.8654132091227212E-2</v>
      </c>
      <c r="U342" s="2">
        <v>3.2209343665251404E-2</v>
      </c>
      <c r="V342" s="3">
        <f>I342/J342</f>
        <v>2.2982110064786367E-2</v>
      </c>
      <c r="W342">
        <v>9</v>
      </c>
      <c r="X342">
        <f t="shared" si="89"/>
        <v>2.1972245773362196</v>
      </c>
    </row>
    <row r="343" spans="1:24" x14ac:dyDescent="0.45">
      <c r="A343" t="s">
        <v>25</v>
      </c>
      <c r="B343">
        <v>23</v>
      </c>
      <c r="C343">
        <v>2021</v>
      </c>
      <c r="D343">
        <v>101033269</v>
      </c>
      <c r="E343">
        <v>6377818</v>
      </c>
      <c r="F343">
        <v>653890</v>
      </c>
      <c r="G343">
        <v>422548</v>
      </c>
      <c r="H343">
        <v>1973855</v>
      </c>
      <c r="I343">
        <v>1027957</v>
      </c>
      <c r="J343">
        <v>54458732</v>
      </c>
      <c r="K343">
        <v>2.9295233226858799</v>
      </c>
      <c r="L343">
        <v>25.554737309897</v>
      </c>
      <c r="M343">
        <v>27.207097804316199</v>
      </c>
      <c r="N343" s="2">
        <f t="shared" si="90"/>
        <v>2.9966648517471119</v>
      </c>
      <c r="P343" s="2">
        <f t="shared" si="84"/>
        <v>18.430960416606172</v>
      </c>
      <c r="Q343" s="2">
        <f t="shared" si="85"/>
        <v>6.4720265559258501E-3</v>
      </c>
      <c r="R343" s="2">
        <f t="shared" si="86"/>
        <v>6.3125919443426104E-2</v>
      </c>
      <c r="S343" s="2">
        <f t="shared" si="87"/>
        <v>0.21407246226293217</v>
      </c>
      <c r="T343" s="2">
        <v>2.5615641067098523E-2</v>
      </c>
      <c r="U343" s="2">
        <v>1.8347155481044399E-2</v>
      </c>
      <c r="V343" s="3">
        <f>I343/J343</f>
        <v>1.8875889361507719E-2</v>
      </c>
      <c r="W343">
        <v>0</v>
      </c>
      <c r="X343" t="e">
        <f t="shared" si="89"/>
        <v>#NUM!</v>
      </c>
    </row>
    <row r="344" spans="1:24" x14ac:dyDescent="0.45">
      <c r="A344" t="s">
        <v>25</v>
      </c>
      <c r="B344">
        <v>23</v>
      </c>
      <c r="C344">
        <v>2022</v>
      </c>
      <c r="D344">
        <v>105147556</v>
      </c>
      <c r="E344">
        <v>7261906</v>
      </c>
      <c r="F344">
        <v>890628</v>
      </c>
      <c r="G344">
        <v>496212</v>
      </c>
      <c r="H344">
        <v>1985749</v>
      </c>
      <c r="I344">
        <v>957355</v>
      </c>
      <c r="J344">
        <v>62508119</v>
      </c>
      <c r="K344">
        <v>3.0268176838110499</v>
      </c>
      <c r="L344">
        <v>19.886983507523201</v>
      </c>
      <c r="M344">
        <v>27.746488205671799</v>
      </c>
      <c r="N344" s="2">
        <f t="shared" si="90"/>
        <v>3.1046492156080232</v>
      </c>
      <c r="O344" s="2">
        <v>0.53100000000000003</v>
      </c>
      <c r="P344" s="2">
        <f t="shared" si="84"/>
        <v>18.470875216856651</v>
      </c>
      <c r="Q344" s="2">
        <f t="shared" si="85"/>
        <v>8.4702682010031685E-3</v>
      </c>
      <c r="R344" s="2">
        <f t="shared" si="86"/>
        <v>6.9063954277738995E-2</v>
      </c>
      <c r="S344" s="2">
        <f t="shared" si="87"/>
        <v>0.24988656673124349</v>
      </c>
      <c r="T344" s="2">
        <v>8.0197923744283764E-2</v>
      </c>
      <c r="U344" s="2">
        <v>3.1565074996312899E-2</v>
      </c>
      <c r="V344" s="3">
        <f>I344/J344</f>
        <v>1.5315690430550311E-2</v>
      </c>
      <c r="W344">
        <v>0</v>
      </c>
      <c r="X344" t="e">
        <f t="shared" si="89"/>
        <v>#NUM!</v>
      </c>
    </row>
    <row r="345" spans="1:24" x14ac:dyDescent="0.45">
      <c r="A345" t="s">
        <v>25</v>
      </c>
      <c r="B345">
        <v>23</v>
      </c>
      <c r="C345">
        <v>2023</v>
      </c>
      <c r="D345">
        <v>112195864</v>
      </c>
      <c r="E345">
        <v>7997094</v>
      </c>
      <c r="F345">
        <v>744094</v>
      </c>
      <c r="G345">
        <v>703467</v>
      </c>
      <c r="H345">
        <v>2513010</v>
      </c>
      <c r="I345">
        <v>1100138</v>
      </c>
      <c r="J345">
        <v>69059041</v>
      </c>
      <c r="K345">
        <v>3.07187771218757</v>
      </c>
      <c r="L345">
        <v>19.004474740999601</v>
      </c>
      <c r="M345">
        <v>27.341668248477099</v>
      </c>
      <c r="N345" s="2">
        <f t="shared" si="90"/>
        <v>3.1094850528675542</v>
      </c>
      <c r="P345" s="2">
        <f t="shared" si="84"/>
        <v>18.535756687628325</v>
      </c>
      <c r="Q345" s="2">
        <f t="shared" si="85"/>
        <v>6.632098309791527E-3</v>
      </c>
      <c r="R345" s="2">
        <f t="shared" si="86"/>
        <v>7.1277975095409937E-2</v>
      </c>
      <c r="S345" s="2">
        <f t="shared" si="87"/>
        <v>0.27993004405075983</v>
      </c>
      <c r="T345" s="2">
        <v>5.0499999999999996E-2</v>
      </c>
      <c r="U345" s="2">
        <v>3.2500000000000001E-2</v>
      </c>
      <c r="V345" s="3">
        <f>I345/J345</f>
        <v>1.5930397875058819E-2</v>
      </c>
      <c r="W345">
        <v>13</v>
      </c>
      <c r="X345">
        <f t="shared" si="89"/>
        <v>2.5649493574615367</v>
      </c>
    </row>
    <row r="346" spans="1:24" x14ac:dyDescent="0.45">
      <c r="A346" t="s">
        <v>25</v>
      </c>
      <c r="B346">
        <v>23</v>
      </c>
      <c r="C346">
        <v>2024</v>
      </c>
      <c r="D346">
        <v>119832037</v>
      </c>
      <c r="E346">
        <v>8856678</v>
      </c>
      <c r="F346">
        <v>867025</v>
      </c>
      <c r="G346">
        <v>334248</v>
      </c>
      <c r="H346">
        <v>2661949</v>
      </c>
      <c r="I346">
        <v>1091043</v>
      </c>
      <c r="J346">
        <v>79915536</v>
      </c>
      <c r="K346">
        <v>3.0966938195511502</v>
      </c>
      <c r="L346">
        <v>27.889422983664101</v>
      </c>
      <c r="M346">
        <v>27.243425052219401</v>
      </c>
      <c r="N346" s="2">
        <f t="shared" si="90"/>
        <v>3.1501605176969414</v>
      </c>
      <c r="P346" s="2">
        <f t="shared" si="84"/>
        <v>18.601601628596249</v>
      </c>
      <c r="Q346" s="2">
        <f t="shared" si="85"/>
        <v>7.2353355722393339E-3</v>
      </c>
      <c r="R346" s="2">
        <f t="shared" si="86"/>
        <v>7.3909099951292662E-2</v>
      </c>
      <c r="S346" s="2">
        <f t="shared" si="87"/>
        <v>0.12556514042906156</v>
      </c>
      <c r="T346" s="2">
        <v>7.0900000000000005E-2</v>
      </c>
      <c r="U346" s="2">
        <v>3.6299999999999999E-2</v>
      </c>
      <c r="V346" s="3">
        <f>I346/J346</f>
        <v>1.3652451758566695E-2</v>
      </c>
      <c r="W346">
        <v>16</v>
      </c>
      <c r="X346">
        <f t="shared" si="89"/>
        <v>2.7725887222397811</v>
      </c>
    </row>
    <row r="347" spans="1:24" x14ac:dyDescent="0.45">
      <c r="A347" t="s">
        <v>26</v>
      </c>
      <c r="B347">
        <v>24</v>
      </c>
      <c r="C347">
        <v>2010</v>
      </c>
      <c r="K347">
        <v>3.2718982631890698</v>
      </c>
      <c r="L347">
        <v>9.7075901186610398</v>
      </c>
      <c r="M347">
        <v>17.334389639963199</v>
      </c>
      <c r="T347" s="2">
        <v>6.4232448223948205E-2</v>
      </c>
      <c r="U347" s="2">
        <v>9.20746648778413E-2</v>
      </c>
      <c r="W347">
        <v>0</v>
      </c>
      <c r="X347" t="e">
        <f t="shared" si="89"/>
        <v>#NUM!</v>
      </c>
    </row>
    <row r="348" spans="1:24" x14ac:dyDescent="0.45">
      <c r="A348" t="s">
        <v>26</v>
      </c>
      <c r="B348">
        <v>24</v>
      </c>
      <c r="C348">
        <v>2011</v>
      </c>
      <c r="D348">
        <v>18254947</v>
      </c>
      <c r="E348">
        <v>3086246</v>
      </c>
      <c r="F348">
        <v>364202</v>
      </c>
      <c r="G348">
        <v>84465</v>
      </c>
      <c r="H348">
        <v>862816</v>
      </c>
      <c r="J348">
        <v>8272149</v>
      </c>
      <c r="K348">
        <v>3.59352181546691</v>
      </c>
      <c r="L348">
        <v>10.9472107468528</v>
      </c>
      <c r="M348">
        <v>19.912794817213701</v>
      </c>
      <c r="N348" s="2">
        <f>LN((Q348+R348)/(_xlfn.STDEV.S($Q$347:$Q$361)))</f>
        <v>3.5289830962344082</v>
      </c>
      <c r="P348" s="2">
        <f>LN(D348)</f>
        <v>16.719946669753501</v>
      </c>
      <c r="Q348" s="2">
        <f>F348/D348</f>
        <v>1.9950865921440363E-2</v>
      </c>
      <c r="R348" s="2">
        <f>E348/D348</f>
        <v>0.16906354206341986</v>
      </c>
      <c r="S348" s="2">
        <f>G348/H348</f>
        <v>9.7894568482735603E-2</v>
      </c>
      <c r="T348" s="2">
        <v>6.4131688968168274E-2</v>
      </c>
      <c r="U348" s="2">
        <v>0.18677732277070699</v>
      </c>
      <c r="W348">
        <v>0</v>
      </c>
      <c r="X348" t="e">
        <f t="shared" si="89"/>
        <v>#NUM!</v>
      </c>
    </row>
    <row r="349" spans="1:24" x14ac:dyDescent="0.45">
      <c r="A349" t="s">
        <v>26</v>
      </c>
      <c r="B349">
        <v>24</v>
      </c>
      <c r="C349">
        <v>2012</v>
      </c>
      <c r="D349">
        <v>16844700</v>
      </c>
      <c r="E349">
        <v>3090554</v>
      </c>
      <c r="F349">
        <v>16765</v>
      </c>
      <c r="G349">
        <v>0</v>
      </c>
      <c r="H349">
        <v>427508</v>
      </c>
      <c r="J349">
        <v>8727938</v>
      </c>
      <c r="K349">
        <v>3.1504539182237998</v>
      </c>
      <c r="L349">
        <v>12.0614890394782</v>
      </c>
      <c r="M349">
        <v>20.9770541106558</v>
      </c>
      <c r="N349" s="2">
        <f>LN((Q349+R349)/(_xlfn.STDEV.S($Q$347:$Q$361)))</f>
        <v>3.5046393596051719</v>
      </c>
      <c r="P349" s="2">
        <f>LN(D349)</f>
        <v>16.639546625225197</v>
      </c>
      <c r="Q349" s="2">
        <f>F349/D349</f>
        <v>9.952685414403343E-4</v>
      </c>
      <c r="R349" s="2">
        <f>E349/D349</f>
        <v>0.18347337738279695</v>
      </c>
      <c r="S349" s="2">
        <f>G349/H349</f>
        <v>0</v>
      </c>
      <c r="T349" s="2">
        <v>5.5045447041188994E-2</v>
      </c>
      <c r="U349" s="2">
        <v>9.0947033955719195E-2</v>
      </c>
      <c r="W349">
        <v>0</v>
      </c>
      <c r="X349" t="e">
        <f t="shared" si="89"/>
        <v>#NUM!</v>
      </c>
    </row>
    <row r="350" spans="1:24" x14ac:dyDescent="0.45">
      <c r="A350" t="s">
        <v>26</v>
      </c>
      <c r="B350">
        <v>24</v>
      </c>
      <c r="C350">
        <v>2013</v>
      </c>
      <c r="K350">
        <v>3.6926464082046402</v>
      </c>
      <c r="L350">
        <v>12.840142796842899</v>
      </c>
      <c r="M350">
        <v>22.1573299611807</v>
      </c>
      <c r="O350" s="2">
        <v>0.39439999999999997</v>
      </c>
      <c r="T350" s="2">
        <v>5.5535108102607179E-2</v>
      </c>
      <c r="U350" s="2">
        <v>6.5926747589919191E-2</v>
      </c>
      <c r="W350">
        <v>0</v>
      </c>
      <c r="X350" t="e">
        <f t="shared" si="89"/>
        <v>#NUM!</v>
      </c>
    </row>
    <row r="351" spans="1:24" x14ac:dyDescent="0.45">
      <c r="A351" t="s">
        <v>26</v>
      </c>
      <c r="B351">
        <v>24</v>
      </c>
      <c r="C351">
        <v>2014</v>
      </c>
      <c r="K351">
        <v>3.8792484082456702</v>
      </c>
      <c r="L351">
        <v>14.6258764318214</v>
      </c>
      <c r="M351">
        <v>22.979955992336901</v>
      </c>
      <c r="O351" s="2">
        <v>0.37819999999999998</v>
      </c>
      <c r="T351" s="2">
        <v>6.4222431211856723E-2</v>
      </c>
      <c r="U351" s="2">
        <v>4.0845544663761703E-2</v>
      </c>
      <c r="W351">
        <v>0</v>
      </c>
      <c r="X351" t="e">
        <f t="shared" si="89"/>
        <v>#NUM!</v>
      </c>
    </row>
    <row r="352" spans="1:24" x14ac:dyDescent="0.45">
      <c r="A352" t="s">
        <v>26</v>
      </c>
      <c r="B352">
        <v>24</v>
      </c>
      <c r="C352">
        <v>2015</v>
      </c>
      <c r="D352">
        <v>33030704</v>
      </c>
      <c r="E352">
        <v>2750679</v>
      </c>
      <c r="F352">
        <v>-126324</v>
      </c>
      <c r="G352">
        <v>159131</v>
      </c>
      <c r="H352">
        <v>403863</v>
      </c>
      <c r="J352">
        <v>22046389</v>
      </c>
      <c r="K352">
        <v>3.7957611751290998</v>
      </c>
      <c r="L352">
        <v>15.8219673058815</v>
      </c>
      <c r="M352">
        <v>24.006275960852001</v>
      </c>
      <c r="N352" s="2">
        <f t="shared" ref="N352:N361" si="91">LN((Q352+R352)/(_xlfn.STDEV.S($Q$347:$Q$361)))</f>
        <v>2.6623127287709449</v>
      </c>
      <c r="P352" s="2">
        <f t="shared" ref="P352:P383" si="92">LN(D352)</f>
        <v>17.312948111096841</v>
      </c>
      <c r="Q352" s="2">
        <f t="shared" ref="Q352:Q383" si="93">F352/D352</f>
        <v>-3.8244416467781007E-3</v>
      </c>
      <c r="R352" s="2">
        <f t="shared" ref="R352:R383" si="94">E352/D352</f>
        <v>8.3276426684699187E-2</v>
      </c>
      <c r="S352" s="2">
        <f t="shared" ref="S352:S383" si="95">G352/H352</f>
        <v>0.39402223031077371</v>
      </c>
      <c r="T352" s="2">
        <v>6.9871543059861096E-2</v>
      </c>
      <c r="U352" s="2">
        <v>6.3120090517575396E-3</v>
      </c>
      <c r="W352">
        <v>0</v>
      </c>
      <c r="X352" t="e">
        <f t="shared" si="89"/>
        <v>#NUM!</v>
      </c>
    </row>
    <row r="353" spans="1:24" x14ac:dyDescent="0.45">
      <c r="A353" t="s">
        <v>26</v>
      </c>
      <c r="B353">
        <v>24</v>
      </c>
      <c r="C353">
        <v>2016</v>
      </c>
      <c r="D353">
        <v>36698310</v>
      </c>
      <c r="E353">
        <v>3066820</v>
      </c>
      <c r="F353">
        <v>67141</v>
      </c>
      <c r="G353">
        <v>257025</v>
      </c>
      <c r="H353">
        <v>717865</v>
      </c>
      <c r="I353">
        <v>445937</v>
      </c>
      <c r="J353">
        <v>26312741</v>
      </c>
      <c r="K353">
        <v>3.8729071718276198</v>
      </c>
      <c r="L353">
        <v>18.127194558590599</v>
      </c>
      <c r="M353">
        <v>24.4994330579914</v>
      </c>
      <c r="N353" s="2">
        <f t="shared" si="91"/>
        <v>2.7344821250800107</v>
      </c>
      <c r="O353" s="2">
        <v>0.33979999999999999</v>
      </c>
      <c r="P353" s="2">
        <f t="shared" si="92"/>
        <v>17.418241262918187</v>
      </c>
      <c r="Q353" s="2">
        <f t="shared" si="93"/>
        <v>1.8295392894114198E-3</v>
      </c>
      <c r="R353" s="2">
        <f t="shared" si="94"/>
        <v>8.356842590299117E-2</v>
      </c>
      <c r="S353" s="2">
        <f t="shared" si="95"/>
        <v>0.35804085726424884</v>
      </c>
      <c r="T353" s="2">
        <v>6.6900089266042351E-2</v>
      </c>
      <c r="U353" s="2">
        <v>2.6682481696908199E-2</v>
      </c>
      <c r="V353" s="3">
        <f t="shared" ref="V353:V376" si="96">I353/J353</f>
        <v>1.6947569240315936E-2</v>
      </c>
      <c r="W353">
        <v>0</v>
      </c>
      <c r="X353" t="e">
        <f t="shared" si="89"/>
        <v>#NUM!</v>
      </c>
    </row>
    <row r="354" spans="1:24" x14ac:dyDescent="0.45">
      <c r="A354" t="s">
        <v>26</v>
      </c>
      <c r="B354">
        <v>24</v>
      </c>
      <c r="C354">
        <v>2017</v>
      </c>
      <c r="D354">
        <v>41533542</v>
      </c>
      <c r="E354">
        <v>3329275</v>
      </c>
      <c r="F354">
        <v>262455</v>
      </c>
      <c r="G354">
        <v>238760</v>
      </c>
      <c r="H354">
        <v>1011944</v>
      </c>
      <c r="I354">
        <v>387424</v>
      </c>
      <c r="J354">
        <v>28713347</v>
      </c>
      <c r="K354">
        <v>3.4878659520670099</v>
      </c>
      <c r="L354">
        <v>19.9794949903735</v>
      </c>
      <c r="M354">
        <v>24.408110955118602</v>
      </c>
      <c r="N354" s="2">
        <f t="shared" si="91"/>
        <v>2.7470477691655799</v>
      </c>
      <c r="O354" s="2">
        <v>0.45040000000000002</v>
      </c>
      <c r="P354" s="2">
        <f t="shared" si="92"/>
        <v>17.542011899713945</v>
      </c>
      <c r="Q354" s="2">
        <f t="shared" si="93"/>
        <v>6.3191095043134051E-3</v>
      </c>
      <c r="R354" s="2">
        <f t="shared" si="94"/>
        <v>8.0158706425760659E-2</v>
      </c>
      <c r="S354" s="2">
        <f t="shared" si="95"/>
        <v>0.2359419098290024</v>
      </c>
      <c r="T354" s="2">
        <v>6.9401903735920603E-2</v>
      </c>
      <c r="U354" s="2">
        <v>3.5202568881161703E-2</v>
      </c>
      <c r="V354" s="3">
        <f t="shared" si="96"/>
        <v>1.3492819210522549E-2</v>
      </c>
      <c r="W354">
        <v>15</v>
      </c>
      <c r="X354">
        <f t="shared" si="89"/>
        <v>2.7080502011022101</v>
      </c>
    </row>
    <row r="355" spans="1:24" x14ac:dyDescent="0.45">
      <c r="A355" t="s">
        <v>26</v>
      </c>
      <c r="B355">
        <v>24</v>
      </c>
      <c r="C355">
        <v>2018</v>
      </c>
      <c r="D355">
        <v>51672039</v>
      </c>
      <c r="E355">
        <v>4506780</v>
      </c>
      <c r="F355">
        <v>321984</v>
      </c>
      <c r="G355">
        <v>308691</v>
      </c>
      <c r="H355">
        <v>1353149</v>
      </c>
      <c r="I355">
        <v>443635</v>
      </c>
      <c r="J355">
        <v>35495274</v>
      </c>
      <c r="K355">
        <v>3.9598095587873798</v>
      </c>
      <c r="L355">
        <v>20.511087535654799</v>
      </c>
      <c r="M355">
        <v>25.6092485278987</v>
      </c>
      <c r="N355" s="2">
        <f t="shared" si="91"/>
        <v>2.824588861142868</v>
      </c>
      <c r="P355" s="2">
        <f t="shared" si="92"/>
        <v>17.760427361454958</v>
      </c>
      <c r="Q355" s="2">
        <f t="shared" si="93"/>
        <v>6.2313004524555344E-3</v>
      </c>
      <c r="R355" s="2">
        <f t="shared" si="94"/>
        <v>8.7218930919292739E-2</v>
      </c>
      <c r="S355" s="2">
        <f t="shared" si="95"/>
        <v>0.22812787061883061</v>
      </c>
      <c r="T355" s="2">
        <v>7.4650068557275087E-2</v>
      </c>
      <c r="U355" s="2">
        <v>3.5396280594264098E-2</v>
      </c>
      <c r="V355" s="3">
        <f t="shared" si="96"/>
        <v>1.2498424438137878E-2</v>
      </c>
      <c r="W355">
        <v>9</v>
      </c>
      <c r="X355">
        <f t="shared" si="89"/>
        <v>2.1972245773362196</v>
      </c>
    </row>
    <row r="356" spans="1:24" x14ac:dyDescent="0.45">
      <c r="A356" t="s">
        <v>26</v>
      </c>
      <c r="B356">
        <v>24</v>
      </c>
      <c r="C356">
        <v>2019</v>
      </c>
      <c r="D356">
        <v>68928115</v>
      </c>
      <c r="E356">
        <v>5018384</v>
      </c>
      <c r="F356">
        <v>485650</v>
      </c>
      <c r="G356">
        <v>527998</v>
      </c>
      <c r="H356">
        <v>1743927</v>
      </c>
      <c r="I356">
        <v>539050</v>
      </c>
      <c r="J356">
        <v>40918793</v>
      </c>
      <c r="K356">
        <v>4.0230286341449499</v>
      </c>
      <c r="L356">
        <v>21.918245362198</v>
      </c>
      <c r="M356">
        <v>26.1660509841828</v>
      </c>
      <c r="N356" s="2">
        <f t="shared" si="91"/>
        <v>2.6673322583357399</v>
      </c>
      <c r="P356" s="2">
        <f t="shared" si="92"/>
        <v>18.048574707904418</v>
      </c>
      <c r="Q356" s="2">
        <f t="shared" si="93"/>
        <v>7.0457461371169075E-3</v>
      </c>
      <c r="R356" s="2">
        <f t="shared" si="94"/>
        <v>7.2806053088786779E-2</v>
      </c>
      <c r="S356" s="2">
        <f t="shared" si="95"/>
        <v>0.30276381981585238</v>
      </c>
      <c r="T356" s="2">
        <v>7.3592627010500566E-2</v>
      </c>
      <c r="U356" s="2">
        <v>2.7958236745225001E-2</v>
      </c>
      <c r="V356" s="3">
        <f t="shared" si="96"/>
        <v>1.3173653484842528E-2</v>
      </c>
      <c r="W356">
        <v>10</v>
      </c>
      <c r="X356">
        <f t="shared" si="89"/>
        <v>2.3025850929940459</v>
      </c>
    </row>
    <row r="357" spans="1:24" x14ac:dyDescent="0.45">
      <c r="A357" t="s">
        <v>26</v>
      </c>
      <c r="B357">
        <v>24</v>
      </c>
      <c r="C357">
        <v>2020</v>
      </c>
      <c r="D357">
        <v>91505109</v>
      </c>
      <c r="E357">
        <v>5277750</v>
      </c>
      <c r="F357">
        <v>299545</v>
      </c>
      <c r="G357">
        <v>1110834</v>
      </c>
      <c r="H357">
        <v>1680593</v>
      </c>
      <c r="I357">
        <v>784735</v>
      </c>
      <c r="J357">
        <v>44801916</v>
      </c>
      <c r="K357">
        <v>4.0399838659549498</v>
      </c>
      <c r="L357">
        <v>23.747196863397502</v>
      </c>
      <c r="M357">
        <v>26.4783455246633</v>
      </c>
      <c r="N357" s="2">
        <f t="shared" si="91"/>
        <v>2.3972242153806755</v>
      </c>
      <c r="O357" s="2">
        <v>0.57469999999999999</v>
      </c>
      <c r="P357" s="2">
        <f t="shared" si="92"/>
        <v>18.331905364752547</v>
      </c>
      <c r="Q357" s="2">
        <f t="shared" si="93"/>
        <v>3.2735330657876162E-3</v>
      </c>
      <c r="R357" s="2">
        <f t="shared" si="94"/>
        <v>5.7677107406101227E-2</v>
      </c>
      <c r="S357" s="2">
        <f t="shared" si="95"/>
        <v>0.66097740499930679</v>
      </c>
      <c r="T357" s="2">
        <v>2.8654132091227212E-2</v>
      </c>
      <c r="U357" s="2">
        <v>3.2209343665251404E-2</v>
      </c>
      <c r="V357" s="3">
        <f t="shared" si="96"/>
        <v>1.7515657142877551E-2</v>
      </c>
      <c r="W357">
        <v>17</v>
      </c>
      <c r="X357">
        <f t="shared" si="89"/>
        <v>2.8332133440562162</v>
      </c>
    </row>
    <row r="358" spans="1:24" x14ac:dyDescent="0.45">
      <c r="A358" t="s">
        <v>26</v>
      </c>
      <c r="B358">
        <v>24</v>
      </c>
      <c r="C358">
        <v>2021</v>
      </c>
      <c r="D358">
        <v>103377281</v>
      </c>
      <c r="E358">
        <v>5744166</v>
      </c>
      <c r="F358">
        <v>506595</v>
      </c>
      <c r="G358">
        <v>771473</v>
      </c>
      <c r="H358">
        <v>2257681</v>
      </c>
      <c r="I358">
        <v>1845051</v>
      </c>
      <c r="J358">
        <v>50530156</v>
      </c>
      <c r="K358">
        <v>2.9295233226858799</v>
      </c>
      <c r="L358">
        <v>25.554737309897</v>
      </c>
      <c r="M358">
        <v>27.207097804316199</v>
      </c>
      <c r="N358" s="2">
        <f t="shared" si="91"/>
        <v>2.3892331282778323</v>
      </c>
      <c r="P358" s="2">
        <f t="shared" si="92"/>
        <v>18.453895776360945</v>
      </c>
      <c r="Q358" s="2">
        <f t="shared" si="93"/>
        <v>4.9004480974886543E-3</v>
      </c>
      <c r="R358" s="2">
        <f t="shared" si="94"/>
        <v>5.5565071400939629E-2</v>
      </c>
      <c r="S358" s="2">
        <f t="shared" si="95"/>
        <v>0.34171036563624357</v>
      </c>
      <c r="T358" s="2">
        <v>2.5615641067098523E-2</v>
      </c>
      <c r="U358" s="2">
        <v>1.8347155481044399E-2</v>
      </c>
      <c r="V358" s="3">
        <f t="shared" si="96"/>
        <v>3.6513859169562034E-2</v>
      </c>
      <c r="W358">
        <v>0</v>
      </c>
      <c r="X358" t="e">
        <f t="shared" si="89"/>
        <v>#NUM!</v>
      </c>
    </row>
    <row r="359" spans="1:24" x14ac:dyDescent="0.45">
      <c r="A359" t="s">
        <v>26</v>
      </c>
      <c r="B359">
        <v>24</v>
      </c>
      <c r="C359">
        <v>2022</v>
      </c>
      <c r="D359">
        <v>111306635</v>
      </c>
      <c r="E359">
        <v>6266793</v>
      </c>
      <c r="F359">
        <v>522627</v>
      </c>
      <c r="G359">
        <v>513690</v>
      </c>
      <c r="H359">
        <v>2324570</v>
      </c>
      <c r="I359">
        <v>2324289</v>
      </c>
      <c r="J359">
        <v>63632966</v>
      </c>
      <c r="K359">
        <v>3.0268176838110499</v>
      </c>
      <c r="L359">
        <v>19.886983507523201</v>
      </c>
      <c r="M359">
        <v>27.746488205671799</v>
      </c>
      <c r="N359" s="2">
        <f t="shared" si="91"/>
        <v>2.3979917783641089</v>
      </c>
      <c r="O359" s="2">
        <v>0.51870000000000005</v>
      </c>
      <c r="P359" s="2">
        <f t="shared" si="92"/>
        <v>18.527799428125732</v>
      </c>
      <c r="Q359" s="2">
        <f t="shared" si="93"/>
        <v>4.6953804685587698E-3</v>
      </c>
      <c r="R359" s="2">
        <f t="shared" si="94"/>
        <v>5.6302061417991836E-2</v>
      </c>
      <c r="S359" s="2">
        <f t="shared" si="95"/>
        <v>0.22098280542207807</v>
      </c>
      <c r="T359" s="2">
        <v>8.0197923744283764E-2</v>
      </c>
      <c r="U359" s="2">
        <v>3.1565074996312899E-2</v>
      </c>
      <c r="V359" s="3">
        <f t="shared" si="96"/>
        <v>3.6526491630140261E-2</v>
      </c>
      <c r="W359">
        <v>15</v>
      </c>
      <c r="X359">
        <f t="shared" si="89"/>
        <v>2.7080502011022101</v>
      </c>
    </row>
    <row r="360" spans="1:24" x14ac:dyDescent="0.45">
      <c r="A360" t="s">
        <v>26</v>
      </c>
      <c r="B360">
        <v>24</v>
      </c>
      <c r="C360">
        <v>2023</v>
      </c>
      <c r="D360">
        <v>138258073</v>
      </c>
      <c r="E360">
        <v>6895659</v>
      </c>
      <c r="F360">
        <v>646866</v>
      </c>
      <c r="G360">
        <v>396938</v>
      </c>
      <c r="H360">
        <v>2396836</v>
      </c>
      <c r="I360">
        <v>2071132</v>
      </c>
      <c r="J360">
        <v>80754430</v>
      </c>
      <c r="K360">
        <v>3.07187771218757</v>
      </c>
      <c r="L360">
        <v>19.004474740999601</v>
      </c>
      <c r="M360">
        <v>27.341668248477099</v>
      </c>
      <c r="N360" s="2">
        <f t="shared" si="91"/>
        <v>2.2863501040238554</v>
      </c>
      <c r="P360" s="2">
        <f t="shared" si="92"/>
        <v>18.744632590875224</v>
      </c>
      <c r="Q360" s="2">
        <f t="shared" si="93"/>
        <v>4.6786852005379822E-3</v>
      </c>
      <c r="R360" s="2">
        <f t="shared" si="94"/>
        <v>4.9875272021186058E-2</v>
      </c>
      <c r="S360" s="2">
        <f t="shared" si="95"/>
        <v>0.165609161411127</v>
      </c>
      <c r="T360" s="2">
        <v>5.0499999999999996E-2</v>
      </c>
      <c r="U360" s="2">
        <v>3.2500000000000001E-2</v>
      </c>
      <c r="V360" s="3">
        <f t="shared" si="96"/>
        <v>2.5647286470847481E-2</v>
      </c>
      <c r="W360">
        <v>14</v>
      </c>
      <c r="X360">
        <f t="shared" si="89"/>
        <v>2.6390573296152584</v>
      </c>
    </row>
    <row r="361" spans="1:24" x14ac:dyDescent="0.45">
      <c r="A361" t="s">
        <v>26</v>
      </c>
      <c r="B361">
        <v>24</v>
      </c>
      <c r="C361">
        <v>2024</v>
      </c>
      <c r="D361">
        <v>162855332</v>
      </c>
      <c r="E361">
        <v>8701053</v>
      </c>
      <c r="F361">
        <v>900925</v>
      </c>
      <c r="G361">
        <v>689790</v>
      </c>
      <c r="H361">
        <v>3501363</v>
      </c>
      <c r="I361">
        <v>2486270</v>
      </c>
      <c r="J361">
        <v>93637036</v>
      </c>
      <c r="K361">
        <v>3.0966938195511502</v>
      </c>
      <c r="L361">
        <v>27.889422983664101</v>
      </c>
      <c r="M361">
        <v>27.243425052219401</v>
      </c>
      <c r="N361" s="2">
        <f t="shared" si="91"/>
        <v>2.364021976281967</v>
      </c>
      <c r="P361" s="2">
        <f t="shared" si="92"/>
        <v>18.908372830937438</v>
      </c>
      <c r="Q361" s="2">
        <f t="shared" si="93"/>
        <v>5.5320571266281905E-3</v>
      </c>
      <c r="R361" s="2">
        <f t="shared" si="94"/>
        <v>5.3428112504170268E-2</v>
      </c>
      <c r="S361" s="2">
        <f t="shared" si="95"/>
        <v>0.1970061373242363</v>
      </c>
      <c r="T361" s="2">
        <v>7.0900000000000005E-2</v>
      </c>
      <c r="U361" s="2">
        <v>3.6299999999999999E-2</v>
      </c>
      <c r="V361" s="3">
        <f t="shared" si="96"/>
        <v>2.6552207397936005E-2</v>
      </c>
      <c r="W361">
        <v>34</v>
      </c>
      <c r="X361">
        <f t="shared" si="89"/>
        <v>3.5263605246161616</v>
      </c>
    </row>
    <row r="362" spans="1:24" x14ac:dyDescent="0.45">
      <c r="A362" t="s">
        <v>27</v>
      </c>
      <c r="B362">
        <v>25</v>
      </c>
      <c r="C362">
        <v>2010</v>
      </c>
      <c r="D362">
        <v>307496090</v>
      </c>
      <c r="E362">
        <v>20789511</v>
      </c>
      <c r="F362">
        <v>4235792</v>
      </c>
      <c r="G362">
        <v>3336393</v>
      </c>
      <c r="H362">
        <v>11524806</v>
      </c>
      <c r="I362">
        <v>5005547</v>
      </c>
      <c r="J362">
        <v>176813906</v>
      </c>
      <c r="K362">
        <v>3.2718982631890698</v>
      </c>
      <c r="L362">
        <v>9.7075901186610398</v>
      </c>
      <c r="M362">
        <v>17.334389639963199</v>
      </c>
      <c r="N362" s="2">
        <f t="shared" ref="N362:N376" si="97">LN((Q362+R362)/(_xlfn.STDEV.S($Q$362:$Q$376)))</f>
        <v>3.1643266688534308</v>
      </c>
      <c r="O362" s="2">
        <v>0.61890000000000001</v>
      </c>
      <c r="P362" s="2">
        <f t="shared" si="92"/>
        <v>19.543972929682852</v>
      </c>
      <c r="Q362" s="2">
        <f t="shared" si="93"/>
        <v>1.3775108489997386E-2</v>
      </c>
      <c r="R362" s="2">
        <f t="shared" si="94"/>
        <v>6.7609025532649858E-2</v>
      </c>
      <c r="S362" s="2">
        <f t="shared" si="95"/>
        <v>0.2894966735231812</v>
      </c>
      <c r="T362" s="2">
        <v>6.4232448223948205E-2</v>
      </c>
      <c r="U362" s="2">
        <v>9.20746648778413E-2</v>
      </c>
      <c r="V362" s="3">
        <f t="shared" si="96"/>
        <v>2.8309690754753192E-2</v>
      </c>
      <c r="W362">
        <v>9</v>
      </c>
      <c r="X362">
        <f t="shared" si="89"/>
        <v>2.1972245773362196</v>
      </c>
    </row>
    <row r="363" spans="1:24" x14ac:dyDescent="0.45">
      <c r="A363" t="s">
        <v>27</v>
      </c>
      <c r="B363">
        <v>25</v>
      </c>
      <c r="C363">
        <v>2011</v>
      </c>
      <c r="D363">
        <v>366722279</v>
      </c>
      <c r="E363">
        <v>28781930</v>
      </c>
      <c r="F363">
        <v>4217332</v>
      </c>
      <c r="G363">
        <v>2449091</v>
      </c>
      <c r="H363">
        <v>14870771</v>
      </c>
      <c r="I363">
        <v>4257959</v>
      </c>
      <c r="J363">
        <v>209417633</v>
      </c>
      <c r="K363">
        <v>3.59352181546691</v>
      </c>
      <c r="L363">
        <v>10.9472107468528</v>
      </c>
      <c r="M363">
        <v>19.912794817213701</v>
      </c>
      <c r="N363" s="2">
        <f t="shared" si="97"/>
        <v>3.2647819765143407</v>
      </c>
      <c r="O363" s="2">
        <v>0.68879999999999997</v>
      </c>
      <c r="P363" s="2">
        <f t="shared" si="92"/>
        <v>19.720115386581895</v>
      </c>
      <c r="Q363" s="2">
        <f t="shared" si="93"/>
        <v>1.1500070329787627E-2</v>
      </c>
      <c r="R363" s="2">
        <f t="shared" si="94"/>
        <v>7.8484269018190736E-2</v>
      </c>
      <c r="S363" s="2">
        <f t="shared" si="95"/>
        <v>0.16469159534498917</v>
      </c>
      <c r="T363" s="2">
        <v>6.4131688968168274E-2</v>
      </c>
      <c r="U363" s="2">
        <v>0.18677732277070699</v>
      </c>
      <c r="V363" s="3">
        <f t="shared" si="96"/>
        <v>2.0332380511625781E-2</v>
      </c>
      <c r="W363">
        <v>14</v>
      </c>
      <c r="X363">
        <f t="shared" si="89"/>
        <v>2.6390573296152584</v>
      </c>
    </row>
    <row r="364" spans="1:24" x14ac:dyDescent="0.45">
      <c r="A364" t="s">
        <v>27</v>
      </c>
      <c r="B364">
        <v>25</v>
      </c>
      <c r="C364">
        <v>2012</v>
      </c>
      <c r="D364">
        <v>414488317</v>
      </c>
      <c r="E364">
        <v>41698764</v>
      </c>
      <c r="F364">
        <v>4420993</v>
      </c>
      <c r="G364">
        <v>4139564</v>
      </c>
      <c r="H364">
        <v>15080616</v>
      </c>
      <c r="I364">
        <v>5791307</v>
      </c>
      <c r="J364">
        <v>241167308</v>
      </c>
      <c r="K364">
        <v>3.1504539182237998</v>
      </c>
      <c r="L364">
        <v>12.0614890394782</v>
      </c>
      <c r="M364">
        <v>20.9770541106558</v>
      </c>
      <c r="N364" s="2">
        <f t="shared" si="97"/>
        <v>3.4770982456629187</v>
      </c>
      <c r="O364" s="2">
        <v>0.62960000000000005</v>
      </c>
      <c r="P364" s="2">
        <f t="shared" si="92"/>
        <v>19.842555346376415</v>
      </c>
      <c r="Q364" s="2">
        <f t="shared" si="93"/>
        <v>1.0666146230606544E-2</v>
      </c>
      <c r="R364" s="2">
        <f t="shared" si="94"/>
        <v>0.10060298997522769</v>
      </c>
      <c r="S364" s="2">
        <f t="shared" si="95"/>
        <v>0.27449568373069111</v>
      </c>
      <c r="T364" s="2">
        <v>5.5045447041188994E-2</v>
      </c>
      <c r="U364" s="2">
        <v>9.0947033955719195E-2</v>
      </c>
      <c r="V364" s="3">
        <f t="shared" si="96"/>
        <v>2.4013648649260536E-2</v>
      </c>
      <c r="W364">
        <v>7</v>
      </c>
      <c r="X364">
        <f t="shared" si="89"/>
        <v>1.9459101490553132</v>
      </c>
    </row>
    <row r="365" spans="1:24" x14ac:dyDescent="0.45">
      <c r="A365" t="s">
        <v>27</v>
      </c>
      <c r="B365">
        <v>25</v>
      </c>
      <c r="C365">
        <v>2013</v>
      </c>
      <c r="D365">
        <v>468994032</v>
      </c>
      <c r="E365">
        <v>42535692</v>
      </c>
      <c r="F365">
        <v>4377582</v>
      </c>
      <c r="G365">
        <v>4724952</v>
      </c>
      <c r="H365">
        <v>15507354</v>
      </c>
      <c r="I365">
        <v>7475360</v>
      </c>
      <c r="J365">
        <v>274314209</v>
      </c>
      <c r="K365">
        <v>3.6926464082046402</v>
      </c>
      <c r="L365">
        <v>12.840142796842899</v>
      </c>
      <c r="M365">
        <v>22.1573299611807</v>
      </c>
      <c r="N365" s="2">
        <f t="shared" si="97"/>
        <v>3.3706122272592882</v>
      </c>
      <c r="O365" s="2">
        <v>0.68899999999999995</v>
      </c>
      <c r="P365" s="2">
        <f t="shared" si="92"/>
        <v>19.966100601382895</v>
      </c>
      <c r="Q365" s="2">
        <f t="shared" si="93"/>
        <v>9.3339823138730259E-3</v>
      </c>
      <c r="R365" s="2">
        <f t="shared" si="94"/>
        <v>9.0695593328999971E-2</v>
      </c>
      <c r="S365" s="2">
        <f t="shared" si="95"/>
        <v>0.3046910517422895</v>
      </c>
      <c r="T365" s="2">
        <v>5.5535108102607179E-2</v>
      </c>
      <c r="U365" s="2">
        <v>6.5926747589919191E-2</v>
      </c>
      <c r="V365" s="3">
        <f t="shared" si="96"/>
        <v>2.7251085633701169E-2</v>
      </c>
      <c r="W365">
        <v>7</v>
      </c>
      <c r="X365">
        <f t="shared" si="89"/>
        <v>1.9459101490553132</v>
      </c>
    </row>
    <row r="366" spans="1:24" x14ac:dyDescent="0.45">
      <c r="A366" t="s">
        <v>27</v>
      </c>
      <c r="B366">
        <v>25</v>
      </c>
      <c r="C366">
        <v>2014</v>
      </c>
      <c r="D366">
        <v>576995651</v>
      </c>
      <c r="E366">
        <v>43471823</v>
      </c>
      <c r="F366">
        <v>4584770</v>
      </c>
      <c r="G366">
        <v>5531001</v>
      </c>
      <c r="H366">
        <v>17285238</v>
      </c>
      <c r="I366">
        <v>7458681</v>
      </c>
      <c r="J366">
        <v>323338118</v>
      </c>
      <c r="K366">
        <v>3.8792484082456702</v>
      </c>
      <c r="L366">
        <v>14.6258764318214</v>
      </c>
      <c r="M366">
        <v>22.979955992336901</v>
      </c>
      <c r="N366" s="2">
        <f t="shared" si="97"/>
        <v>3.1874462155759131</v>
      </c>
      <c r="O366" s="2">
        <v>0.68100000000000005</v>
      </c>
      <c r="P366" s="2">
        <f t="shared" si="92"/>
        <v>20.173345287182268</v>
      </c>
      <c r="Q366" s="2">
        <f t="shared" si="93"/>
        <v>7.9459351072301235E-3</v>
      </c>
      <c r="R366" s="2">
        <f t="shared" si="94"/>
        <v>7.5341682254724651E-2</v>
      </c>
      <c r="S366" s="2">
        <f t="shared" si="95"/>
        <v>0.3199840812142708</v>
      </c>
      <c r="T366" s="2">
        <v>6.4222431211856723E-2</v>
      </c>
      <c r="U366" s="2">
        <v>4.0845544663761703E-2</v>
      </c>
      <c r="V366" s="3">
        <f t="shared" si="96"/>
        <v>2.306774421195833E-2</v>
      </c>
      <c r="W366">
        <v>15</v>
      </c>
      <c r="X366">
        <f t="shared" si="89"/>
        <v>2.7080502011022101</v>
      </c>
    </row>
    <row r="367" spans="1:24" x14ac:dyDescent="0.45">
      <c r="A367" t="s">
        <v>27</v>
      </c>
      <c r="B367">
        <v>25</v>
      </c>
      <c r="C367">
        <v>2015</v>
      </c>
      <c r="D367">
        <v>674394640</v>
      </c>
      <c r="E367">
        <v>45172342</v>
      </c>
      <c r="F367">
        <v>5332067</v>
      </c>
      <c r="G367">
        <v>5748765</v>
      </c>
      <c r="H367">
        <v>21201797</v>
      </c>
      <c r="I367">
        <v>7137263</v>
      </c>
      <c r="J367">
        <v>387151704</v>
      </c>
      <c r="K367">
        <v>3.7957611751290998</v>
      </c>
      <c r="L367">
        <v>15.8219673058815</v>
      </c>
      <c r="M367">
        <v>24.006275960852001</v>
      </c>
      <c r="N367" s="2">
        <f t="shared" si="97"/>
        <v>3.0811467881022887</v>
      </c>
      <c r="O367" s="2">
        <v>0.75360000000000005</v>
      </c>
      <c r="P367" s="2">
        <f t="shared" si="92"/>
        <v>20.329326016814878</v>
      </c>
      <c r="Q367" s="2">
        <f t="shared" si="93"/>
        <v>7.9064492564768895E-3</v>
      </c>
      <c r="R367" s="2">
        <f t="shared" si="94"/>
        <v>6.698205964389041E-2</v>
      </c>
      <c r="S367" s="2">
        <f t="shared" si="95"/>
        <v>0.27114517698664881</v>
      </c>
      <c r="T367" s="2">
        <v>6.9871543059861096E-2</v>
      </c>
      <c r="U367" s="2">
        <v>6.3120090517575396E-3</v>
      </c>
      <c r="V367" s="3">
        <f t="shared" si="96"/>
        <v>1.8435313408823328E-2</v>
      </c>
      <c r="W367">
        <v>12</v>
      </c>
      <c r="X367">
        <f t="shared" si="89"/>
        <v>2.4849066497880004</v>
      </c>
    </row>
    <row r="368" spans="1:24" x14ac:dyDescent="0.45">
      <c r="A368" t="s">
        <v>27</v>
      </c>
      <c r="B368">
        <v>25</v>
      </c>
      <c r="C368">
        <v>2016</v>
      </c>
      <c r="D368">
        <v>787906892</v>
      </c>
      <c r="E368">
        <v>48101510</v>
      </c>
      <c r="F368">
        <v>6851001</v>
      </c>
      <c r="G368">
        <v>6351921</v>
      </c>
      <c r="H368">
        <v>24879632</v>
      </c>
      <c r="I368">
        <v>6936383</v>
      </c>
      <c r="J368">
        <v>460808468</v>
      </c>
      <c r="K368">
        <v>3.8729071718276198</v>
      </c>
      <c r="L368">
        <v>18.127194558590599</v>
      </c>
      <c r="M368">
        <v>24.4994330579914</v>
      </c>
      <c r="N368" s="2">
        <f t="shared" si="97"/>
        <v>3.0099910579285205</v>
      </c>
      <c r="O368" s="2">
        <v>0.42670000000000002</v>
      </c>
      <c r="P368" s="2">
        <f t="shared" si="92"/>
        <v>20.484890483480616</v>
      </c>
      <c r="Q368" s="2">
        <f t="shared" si="93"/>
        <v>8.6951911064131159E-3</v>
      </c>
      <c r="R368" s="2">
        <f t="shared" si="94"/>
        <v>6.1049738856707447E-2</v>
      </c>
      <c r="S368" s="2">
        <f t="shared" si="95"/>
        <v>0.25530606722800403</v>
      </c>
      <c r="T368" s="2">
        <v>6.6900089266042351E-2</v>
      </c>
      <c r="U368" s="2">
        <v>2.6682481696908199E-2</v>
      </c>
      <c r="V368" s="3">
        <f t="shared" si="96"/>
        <v>1.5052637878173715E-2</v>
      </c>
      <c r="W368">
        <v>14</v>
      </c>
      <c r="X368">
        <f t="shared" si="89"/>
        <v>2.6390573296152584</v>
      </c>
    </row>
    <row r="369" spans="1:24" x14ac:dyDescent="0.45">
      <c r="A369" t="s">
        <v>27</v>
      </c>
      <c r="B369">
        <v>25</v>
      </c>
      <c r="C369">
        <v>2017</v>
      </c>
      <c r="D369">
        <v>1035293283</v>
      </c>
      <c r="E369">
        <v>52557959</v>
      </c>
      <c r="F369">
        <v>9110588</v>
      </c>
      <c r="G369">
        <v>7468575</v>
      </c>
      <c r="H369">
        <v>29406121</v>
      </c>
      <c r="I369">
        <v>6208689</v>
      </c>
      <c r="J369">
        <v>543434460</v>
      </c>
      <c r="K369">
        <v>3.4878659520670099</v>
      </c>
      <c r="L369">
        <v>19.9794949903735</v>
      </c>
      <c r="M369">
        <v>24.408110955118602</v>
      </c>
      <c r="N369" s="2">
        <f t="shared" si="97"/>
        <v>2.8522356046126331</v>
      </c>
      <c r="O369" s="2">
        <v>0.42159999999999997</v>
      </c>
      <c r="P369" s="2">
        <f t="shared" si="92"/>
        <v>20.757950588740794</v>
      </c>
      <c r="Q369" s="2">
        <f t="shared" si="93"/>
        <v>8.800006867232809E-3</v>
      </c>
      <c r="R369" s="2">
        <f t="shared" si="94"/>
        <v>5.0766251325132961E-2</v>
      </c>
      <c r="S369" s="2">
        <f t="shared" si="95"/>
        <v>0.25398028526101757</v>
      </c>
      <c r="T369" s="2">
        <v>6.9401903735920603E-2</v>
      </c>
      <c r="U369" s="2">
        <v>3.5202568881161703E-2</v>
      </c>
      <c r="V369" s="3">
        <f t="shared" si="96"/>
        <v>1.1424908534508466E-2</v>
      </c>
      <c r="W369">
        <v>16</v>
      </c>
      <c r="X369">
        <f t="shared" si="89"/>
        <v>2.7725887222397811</v>
      </c>
    </row>
    <row r="370" spans="1:24" x14ac:dyDescent="0.45">
      <c r="A370" t="s">
        <v>27</v>
      </c>
      <c r="B370">
        <v>25</v>
      </c>
      <c r="C370">
        <v>2018</v>
      </c>
      <c r="D370">
        <v>1074026560</v>
      </c>
      <c r="E370">
        <v>62179379</v>
      </c>
      <c r="F370">
        <v>14622062</v>
      </c>
      <c r="G370">
        <v>10869917</v>
      </c>
      <c r="H370">
        <v>39278433</v>
      </c>
      <c r="I370">
        <v>6222993</v>
      </c>
      <c r="J370">
        <v>631866758</v>
      </c>
      <c r="K370">
        <v>3.9598095587873798</v>
      </c>
      <c r="L370">
        <v>20.511087535654799</v>
      </c>
      <c r="M370">
        <v>25.6092485278987</v>
      </c>
      <c r="N370" s="2">
        <f t="shared" si="97"/>
        <v>3.0349550058059442</v>
      </c>
      <c r="O370" s="2">
        <v>0.40679999999999999</v>
      </c>
      <c r="P370" s="2">
        <f t="shared" si="92"/>
        <v>20.794680562708681</v>
      </c>
      <c r="Q370" s="2">
        <f t="shared" si="93"/>
        <v>1.3614246187729287E-2</v>
      </c>
      <c r="R370" s="2">
        <f t="shared" si="94"/>
        <v>5.789370702340918E-2</v>
      </c>
      <c r="S370" s="2">
        <f t="shared" si="95"/>
        <v>0.27674008787468685</v>
      </c>
      <c r="T370" s="2">
        <v>7.4650068557275087E-2</v>
      </c>
      <c r="U370" s="2">
        <v>3.5396280594264098E-2</v>
      </c>
      <c r="V370" s="3">
        <f t="shared" si="96"/>
        <v>9.8485842485165204E-3</v>
      </c>
      <c r="W370">
        <v>25</v>
      </c>
      <c r="X370">
        <f t="shared" si="89"/>
        <v>3.2188758248682006</v>
      </c>
    </row>
    <row r="371" spans="1:24" x14ac:dyDescent="0.45">
      <c r="A371" t="s">
        <v>27</v>
      </c>
      <c r="B371">
        <v>25</v>
      </c>
      <c r="C371">
        <v>2019</v>
      </c>
      <c r="D371">
        <v>1222718858</v>
      </c>
      <c r="E371">
        <v>80882982</v>
      </c>
      <c r="F371">
        <v>18525988</v>
      </c>
      <c r="G371">
        <v>11153031</v>
      </c>
      <c r="H371">
        <v>45730381</v>
      </c>
      <c r="I371">
        <v>5803933</v>
      </c>
      <c r="J371">
        <v>734706891</v>
      </c>
      <c r="K371">
        <v>4.0230286341449499</v>
      </c>
      <c r="L371">
        <v>21.918245362198</v>
      </c>
      <c r="M371">
        <v>26.1660509841828</v>
      </c>
      <c r="N371" s="2">
        <f t="shared" si="97"/>
        <v>3.163311728316772</v>
      </c>
      <c r="O371" s="2">
        <v>0.4577</v>
      </c>
      <c r="P371" s="2">
        <f t="shared" si="92"/>
        <v>20.924342788239123</v>
      </c>
      <c r="Q371" s="2">
        <f t="shared" si="93"/>
        <v>1.5151469921959771E-2</v>
      </c>
      <c r="R371" s="2">
        <f t="shared" si="94"/>
        <v>6.615010594692243E-2</v>
      </c>
      <c r="S371" s="2">
        <f t="shared" si="95"/>
        <v>0.24388668443414019</v>
      </c>
      <c r="T371" s="2">
        <v>7.3592627010500566E-2</v>
      </c>
      <c r="U371" s="2">
        <v>2.7958236745225001E-2</v>
      </c>
      <c r="V371" s="3">
        <f t="shared" si="96"/>
        <v>7.899657769781283E-3</v>
      </c>
      <c r="W371">
        <v>30</v>
      </c>
      <c r="X371">
        <f t="shared" si="89"/>
        <v>3.4011973816621555</v>
      </c>
    </row>
    <row r="372" spans="1:24" x14ac:dyDescent="0.45">
      <c r="A372" t="s">
        <v>27</v>
      </c>
      <c r="B372">
        <v>25</v>
      </c>
      <c r="C372">
        <v>2020</v>
      </c>
      <c r="D372">
        <v>1326230092</v>
      </c>
      <c r="E372">
        <v>94094979</v>
      </c>
      <c r="F372">
        <v>18472518</v>
      </c>
      <c r="G372">
        <v>12777066</v>
      </c>
      <c r="H372">
        <v>49062541</v>
      </c>
      <c r="I372">
        <v>5229569</v>
      </c>
      <c r="J372">
        <v>839788261</v>
      </c>
      <c r="K372">
        <v>4.0399838659549498</v>
      </c>
      <c r="L372">
        <v>23.747196863397502</v>
      </c>
      <c r="M372">
        <v>26.4783455246633</v>
      </c>
      <c r="N372" s="2">
        <f t="shared" si="97"/>
        <v>3.2063589435467303</v>
      </c>
      <c r="O372" s="2">
        <v>0.5252</v>
      </c>
      <c r="P372" s="2">
        <f t="shared" si="92"/>
        <v>21.005606237035224</v>
      </c>
      <c r="Q372" s="2">
        <f t="shared" si="93"/>
        <v>1.3928592113411343E-2</v>
      </c>
      <c r="R372" s="2">
        <f t="shared" si="94"/>
        <v>7.0949211277585758E-2</v>
      </c>
      <c r="S372" s="2">
        <f t="shared" si="95"/>
        <v>0.26042405753097869</v>
      </c>
      <c r="T372" s="2">
        <v>2.8654132091227212E-2</v>
      </c>
      <c r="U372" s="2">
        <v>3.2209343665251404E-2</v>
      </c>
      <c r="V372" s="3">
        <f t="shared" si="96"/>
        <v>6.2272470846076759E-3</v>
      </c>
      <c r="W372">
        <v>50</v>
      </c>
      <c r="X372">
        <f t="shared" si="89"/>
        <v>3.912023005428146</v>
      </c>
    </row>
    <row r="373" spans="1:24" x14ac:dyDescent="0.45">
      <c r="A373" t="s">
        <v>27</v>
      </c>
      <c r="B373">
        <v>25</v>
      </c>
      <c r="C373">
        <v>2021</v>
      </c>
      <c r="D373">
        <v>1414986259</v>
      </c>
      <c r="E373">
        <v>109186429</v>
      </c>
      <c r="F373">
        <v>22016833</v>
      </c>
      <c r="G373">
        <v>14357394</v>
      </c>
      <c r="H373">
        <v>56629966</v>
      </c>
      <c r="I373">
        <v>6121128</v>
      </c>
      <c r="J373">
        <v>960749955</v>
      </c>
      <c r="K373">
        <v>2.9295233226858799</v>
      </c>
      <c r="L373">
        <v>25.554737309897</v>
      </c>
      <c r="M373">
        <v>27.207097804316199</v>
      </c>
      <c r="N373" s="2">
        <f t="shared" si="97"/>
        <v>3.2947742474815844</v>
      </c>
      <c r="P373" s="2">
        <f t="shared" si="92"/>
        <v>21.070385657040397</v>
      </c>
      <c r="Q373" s="2">
        <f t="shared" si="93"/>
        <v>1.555975039330753E-2</v>
      </c>
      <c r="R373" s="2">
        <f t="shared" si="94"/>
        <v>7.7164303402609935E-2</v>
      </c>
      <c r="S373" s="2">
        <f t="shared" si="95"/>
        <v>0.2535299773974789</v>
      </c>
      <c r="T373" s="2">
        <v>2.5615641067098523E-2</v>
      </c>
      <c r="U373" s="2">
        <v>1.8347155481044399E-2</v>
      </c>
      <c r="V373" s="3">
        <f t="shared" si="96"/>
        <v>6.3711978003683587E-3</v>
      </c>
      <c r="W373">
        <v>45</v>
      </c>
      <c r="X373">
        <f t="shared" si="89"/>
        <v>3.8066624897703196</v>
      </c>
    </row>
    <row r="374" spans="1:24" x14ac:dyDescent="0.45">
      <c r="A374" t="s">
        <v>27</v>
      </c>
      <c r="B374">
        <v>25</v>
      </c>
      <c r="C374">
        <v>2022</v>
      </c>
      <c r="D374">
        <v>1813815170</v>
      </c>
      <c r="E374">
        <v>135646085</v>
      </c>
      <c r="F374">
        <v>29919054</v>
      </c>
      <c r="G374">
        <v>14836343</v>
      </c>
      <c r="H374">
        <v>68082821</v>
      </c>
      <c r="I374">
        <v>7820421</v>
      </c>
      <c r="J374">
        <v>1145066250</v>
      </c>
      <c r="K374">
        <v>3.0268176838110499</v>
      </c>
      <c r="L374">
        <v>19.886983507523201</v>
      </c>
      <c r="M374">
        <v>27.746488205671799</v>
      </c>
      <c r="N374" s="2">
        <f t="shared" si="97"/>
        <v>3.279078579422114</v>
      </c>
      <c r="O374" s="2">
        <v>0.61480000000000001</v>
      </c>
      <c r="P374" s="2">
        <f t="shared" si="92"/>
        <v>21.31869829259918</v>
      </c>
      <c r="Q374" s="2">
        <f t="shared" si="93"/>
        <v>1.6495095252731844E-2</v>
      </c>
      <c r="R374" s="2">
        <f t="shared" si="94"/>
        <v>7.4784954522130284E-2</v>
      </c>
      <c r="S374" s="2">
        <f t="shared" si="95"/>
        <v>0.21791610250697455</v>
      </c>
      <c r="T374" s="2">
        <v>8.0197923744283764E-2</v>
      </c>
      <c r="U374" s="2">
        <v>3.1565074996312899E-2</v>
      </c>
      <c r="V374" s="3">
        <f t="shared" si="96"/>
        <v>6.8296668424206895E-3</v>
      </c>
      <c r="W374">
        <v>70</v>
      </c>
      <c r="X374">
        <f t="shared" si="89"/>
        <v>4.2484952420493594</v>
      </c>
    </row>
    <row r="375" spans="1:24" x14ac:dyDescent="0.45">
      <c r="A375" t="s">
        <v>27</v>
      </c>
      <c r="B375">
        <v>25</v>
      </c>
      <c r="C375">
        <v>2023</v>
      </c>
      <c r="D375">
        <v>1839613198</v>
      </c>
      <c r="E375">
        <v>165012666</v>
      </c>
      <c r="F375">
        <v>33054448</v>
      </c>
      <c r="G375">
        <v>14102593</v>
      </c>
      <c r="H375">
        <v>67723462</v>
      </c>
      <c r="I375">
        <v>12454967</v>
      </c>
      <c r="J375">
        <v>1270359018</v>
      </c>
      <c r="K375">
        <v>3.07187771218757</v>
      </c>
      <c r="L375">
        <v>19.004474740999601</v>
      </c>
      <c r="M375">
        <v>27.341668248477099</v>
      </c>
      <c r="N375" s="2">
        <f t="shared" si="97"/>
        <v>3.4441969303828146</v>
      </c>
      <c r="P375" s="2">
        <f t="shared" si="92"/>
        <v>21.332821167990044</v>
      </c>
      <c r="Q375" s="2">
        <f t="shared" si="93"/>
        <v>1.7968151150435485E-2</v>
      </c>
      <c r="R375" s="2">
        <f t="shared" si="94"/>
        <v>8.9699653263740062E-2</v>
      </c>
      <c r="S375" s="2">
        <f t="shared" si="95"/>
        <v>0.20823792203653144</v>
      </c>
      <c r="T375" s="2">
        <v>5.0499999999999996E-2</v>
      </c>
      <c r="U375" s="2">
        <v>3.2500000000000001E-2</v>
      </c>
      <c r="V375" s="3">
        <f t="shared" si="96"/>
        <v>9.8042890423280325E-3</v>
      </c>
      <c r="W375">
        <v>40</v>
      </c>
      <c r="X375">
        <f t="shared" si="89"/>
        <v>3.6888794541139363</v>
      </c>
    </row>
    <row r="376" spans="1:24" x14ac:dyDescent="0.45">
      <c r="A376" t="s">
        <v>27</v>
      </c>
      <c r="B376">
        <v>25</v>
      </c>
      <c r="C376">
        <v>2024</v>
      </c>
      <c r="D376">
        <v>2085873522</v>
      </c>
      <c r="E376">
        <v>196209168</v>
      </c>
      <c r="F376">
        <v>33853117</v>
      </c>
      <c r="G376">
        <v>13172761</v>
      </c>
      <c r="H376">
        <v>68578496</v>
      </c>
      <c r="I376">
        <v>13964014</v>
      </c>
      <c r="J376">
        <v>1449198899</v>
      </c>
      <c r="K376">
        <v>3.0966938195511502</v>
      </c>
      <c r="L376">
        <v>27.889422983664101</v>
      </c>
      <c r="M376">
        <v>27.243425052219401</v>
      </c>
      <c r="N376" s="2">
        <f t="shared" si="97"/>
        <v>3.4683086822707789</v>
      </c>
      <c r="P376" s="2">
        <f t="shared" si="92"/>
        <v>21.458453559855553</v>
      </c>
      <c r="Q376" s="2">
        <f t="shared" si="93"/>
        <v>1.6229707430937896E-2</v>
      </c>
      <c r="R376" s="2">
        <f t="shared" si="94"/>
        <v>9.4065707211177685E-2</v>
      </c>
      <c r="S376" s="2">
        <f t="shared" si="95"/>
        <v>0.19208296723217727</v>
      </c>
      <c r="T376" s="2">
        <v>7.0900000000000005E-2</v>
      </c>
      <c r="U376" s="2">
        <v>3.6299999999999999E-2</v>
      </c>
      <c r="V376" s="3">
        <f t="shared" si="96"/>
        <v>9.6356780353860864E-3</v>
      </c>
      <c r="W376">
        <v>38</v>
      </c>
      <c r="X376">
        <f t="shared" si="89"/>
        <v>3.6375861597263857</v>
      </c>
    </row>
    <row r="377" spans="1:24" x14ac:dyDescent="0.45">
      <c r="A377" t="s">
        <v>28</v>
      </c>
      <c r="B377">
        <v>26</v>
      </c>
      <c r="C377">
        <v>2010</v>
      </c>
      <c r="D377">
        <v>93826929</v>
      </c>
      <c r="E377">
        <v>6593161</v>
      </c>
      <c r="F377">
        <v>790929</v>
      </c>
      <c r="G377">
        <v>439616</v>
      </c>
      <c r="H377">
        <v>2534364</v>
      </c>
      <c r="J377">
        <v>41730941</v>
      </c>
      <c r="K377">
        <v>3.2718982631890698</v>
      </c>
      <c r="L377">
        <v>9.7075901186610398</v>
      </c>
      <c r="M377">
        <v>17.334389639963199</v>
      </c>
      <c r="N377" s="2">
        <f t="shared" ref="N377:N391" si="98">LN((Q377+R377)/(_xlfn.STDEV.S($Q$377:$Q$391)))</f>
        <v>2.3952200237323309</v>
      </c>
      <c r="O377" s="2">
        <v>0.46810000000000002</v>
      </c>
      <c r="P377" s="2">
        <f t="shared" si="92"/>
        <v>18.356962462326372</v>
      </c>
      <c r="Q377" s="2">
        <f t="shared" si="93"/>
        <v>8.4296588242806069E-3</v>
      </c>
      <c r="R377" s="2">
        <f t="shared" si="94"/>
        <v>7.0269389292278772E-2</v>
      </c>
      <c r="S377" s="2">
        <f t="shared" si="95"/>
        <v>0.17346205990931057</v>
      </c>
      <c r="T377" s="2">
        <v>6.4232448223948205E-2</v>
      </c>
      <c r="U377" s="2">
        <v>9.20746648778413E-2</v>
      </c>
      <c r="W377">
        <v>20</v>
      </c>
      <c r="X377">
        <f t="shared" si="89"/>
        <v>2.9957322735539909</v>
      </c>
    </row>
    <row r="378" spans="1:24" x14ac:dyDescent="0.45">
      <c r="A378" t="s">
        <v>28</v>
      </c>
      <c r="B378">
        <v>26</v>
      </c>
      <c r="C378">
        <v>2011</v>
      </c>
      <c r="D378">
        <v>96949541</v>
      </c>
      <c r="E378">
        <v>8160066</v>
      </c>
      <c r="F378">
        <v>638995</v>
      </c>
      <c r="G378">
        <v>0</v>
      </c>
      <c r="H378">
        <v>3519021</v>
      </c>
      <c r="J378">
        <v>43497212</v>
      </c>
      <c r="K378">
        <v>3.59352181546691</v>
      </c>
      <c r="L378">
        <v>10.9472107468528</v>
      </c>
      <c r="M378">
        <v>19.912794817213701</v>
      </c>
      <c r="N378" s="2">
        <f t="shared" si="98"/>
        <v>2.5377986064195399</v>
      </c>
      <c r="P378" s="2">
        <f t="shared" si="92"/>
        <v>18.389701205242552</v>
      </c>
      <c r="Q378" s="2">
        <f t="shared" si="93"/>
        <v>6.5910059336949309E-3</v>
      </c>
      <c r="R378" s="2">
        <f t="shared" si="94"/>
        <v>8.4168175690486249E-2</v>
      </c>
      <c r="S378" s="2">
        <f t="shared" si="95"/>
        <v>0</v>
      </c>
      <c r="T378" s="2">
        <v>6.4131688968168274E-2</v>
      </c>
      <c r="U378" s="2">
        <v>0.18677732277070699</v>
      </c>
      <c r="W378">
        <v>31</v>
      </c>
      <c r="X378">
        <f t="shared" si="89"/>
        <v>3.4339872044851463</v>
      </c>
    </row>
    <row r="379" spans="1:24" x14ac:dyDescent="0.45">
      <c r="A379" t="s">
        <v>28</v>
      </c>
      <c r="B379">
        <v>26</v>
      </c>
      <c r="C379">
        <v>2012</v>
      </c>
      <c r="D379">
        <v>65023406</v>
      </c>
      <c r="E379">
        <v>8435704</v>
      </c>
      <c r="F379">
        <v>520389</v>
      </c>
      <c r="G379">
        <v>272286</v>
      </c>
      <c r="H379">
        <v>3260986</v>
      </c>
      <c r="J379">
        <v>33887202</v>
      </c>
      <c r="K379">
        <v>3.1504539182237998</v>
      </c>
      <c r="L379">
        <v>12.0614890394782</v>
      </c>
      <c r="M379">
        <v>20.9770541106558</v>
      </c>
      <c r="N379" s="2">
        <f t="shared" si="98"/>
        <v>2.9549310278494318</v>
      </c>
      <c r="P379" s="2">
        <f t="shared" si="92"/>
        <v>17.990257855349927</v>
      </c>
      <c r="Q379" s="2">
        <f t="shared" si="93"/>
        <v>8.0031027596431971E-3</v>
      </c>
      <c r="R379" s="2">
        <f t="shared" si="94"/>
        <v>0.12973334555867466</v>
      </c>
      <c r="S379" s="2">
        <f t="shared" si="95"/>
        <v>8.3498058562655589E-2</v>
      </c>
      <c r="T379" s="2">
        <v>5.5045447041188994E-2</v>
      </c>
      <c r="U379" s="2">
        <v>9.0947033955719195E-2</v>
      </c>
      <c r="W379">
        <v>46</v>
      </c>
      <c r="X379">
        <f t="shared" si="89"/>
        <v>3.8286413964890951</v>
      </c>
    </row>
    <row r="380" spans="1:24" x14ac:dyDescent="0.45">
      <c r="A380" t="s">
        <v>28</v>
      </c>
      <c r="B380">
        <v>26</v>
      </c>
      <c r="C380">
        <v>2013</v>
      </c>
      <c r="D380">
        <v>76874670</v>
      </c>
      <c r="E380">
        <v>7982626</v>
      </c>
      <c r="F380">
        <v>50248</v>
      </c>
      <c r="G380">
        <v>577988</v>
      </c>
      <c r="H380">
        <v>2513646</v>
      </c>
      <c r="J380">
        <v>35238517</v>
      </c>
      <c r="K380">
        <v>3.6926464082046402</v>
      </c>
      <c r="L380">
        <v>12.840142796842899</v>
      </c>
      <c r="M380">
        <v>22.1573299611807</v>
      </c>
      <c r="N380" s="2">
        <f t="shared" si="98"/>
        <v>2.6787101807884204</v>
      </c>
      <c r="P380" s="2">
        <f t="shared" si="92"/>
        <v>18.157686991398815</v>
      </c>
      <c r="Q380" s="2">
        <f t="shared" si="93"/>
        <v>6.536353261744083E-4</v>
      </c>
      <c r="R380" s="2">
        <f t="shared" si="94"/>
        <v>0.10383948314835043</v>
      </c>
      <c r="S380" s="2">
        <f t="shared" si="95"/>
        <v>0.22994009498553097</v>
      </c>
      <c r="T380" s="2">
        <v>5.5535108102607179E-2</v>
      </c>
      <c r="U380" s="2">
        <v>6.5926747589919191E-2</v>
      </c>
      <c r="W380">
        <v>0</v>
      </c>
      <c r="X380" t="e">
        <f t="shared" si="89"/>
        <v>#NUM!</v>
      </c>
    </row>
    <row r="381" spans="1:24" x14ac:dyDescent="0.45">
      <c r="A381" t="s">
        <v>28</v>
      </c>
      <c r="B381">
        <v>26</v>
      </c>
      <c r="C381">
        <v>2014</v>
      </c>
      <c r="D381">
        <v>80660959</v>
      </c>
      <c r="E381">
        <v>8500263</v>
      </c>
      <c r="F381">
        <v>522670</v>
      </c>
      <c r="G381">
        <v>1177190</v>
      </c>
      <c r="H381">
        <v>3470075</v>
      </c>
      <c r="I381">
        <v>959887</v>
      </c>
      <c r="J381">
        <v>38178786</v>
      </c>
      <c r="K381">
        <v>3.8792484082456702</v>
      </c>
      <c r="L381">
        <v>14.6258764318214</v>
      </c>
      <c r="M381">
        <v>22.979955992336901</v>
      </c>
      <c r="N381" s="2">
        <f t="shared" si="98"/>
        <v>2.7468590111821025</v>
      </c>
      <c r="P381" s="2">
        <f t="shared" si="92"/>
        <v>18.205765236751166</v>
      </c>
      <c r="Q381" s="2">
        <f t="shared" si="93"/>
        <v>6.4798386540383182E-3</v>
      </c>
      <c r="R381" s="2">
        <f t="shared" si="94"/>
        <v>0.10538261763042019</v>
      </c>
      <c r="S381" s="2">
        <f t="shared" si="95"/>
        <v>0.3392405063291139</v>
      </c>
      <c r="T381" s="2">
        <v>6.4222431211856723E-2</v>
      </c>
      <c r="U381" s="2">
        <v>4.0845544663761703E-2</v>
      </c>
      <c r="V381" s="3">
        <f>I381/J381</f>
        <v>2.5141894244620561E-2</v>
      </c>
      <c r="W381">
        <v>17</v>
      </c>
      <c r="X381">
        <f t="shared" si="89"/>
        <v>2.8332133440562162</v>
      </c>
    </row>
    <row r="382" spans="1:24" x14ac:dyDescent="0.45">
      <c r="A382" t="s">
        <v>28</v>
      </c>
      <c r="B382">
        <v>26</v>
      </c>
      <c r="C382">
        <v>2015</v>
      </c>
      <c r="D382">
        <v>84308832</v>
      </c>
      <c r="E382">
        <v>8610809</v>
      </c>
      <c r="F382">
        <v>521066</v>
      </c>
      <c r="G382">
        <v>585341</v>
      </c>
      <c r="H382">
        <v>2929455</v>
      </c>
      <c r="I382">
        <v>989176</v>
      </c>
      <c r="J382">
        <v>47777031</v>
      </c>
      <c r="K382">
        <v>3.7957611751290998</v>
      </c>
      <c r="L382">
        <v>15.8219673058815</v>
      </c>
      <c r="M382">
        <v>24.006275960852001</v>
      </c>
      <c r="N382" s="2">
        <f t="shared" si="98"/>
        <v>2.7146286546934308</v>
      </c>
      <c r="O382" s="2">
        <v>0.58550000000000002</v>
      </c>
      <c r="P382" s="2">
        <f t="shared" si="92"/>
        <v>18.249997186167501</v>
      </c>
      <c r="Q382" s="2">
        <f t="shared" si="93"/>
        <v>6.1804438234893348E-3</v>
      </c>
      <c r="R382" s="2">
        <f t="shared" si="94"/>
        <v>0.10213412753719563</v>
      </c>
      <c r="S382" s="2">
        <f t="shared" si="95"/>
        <v>0.1998122517669669</v>
      </c>
      <c r="T382" s="2">
        <v>6.9871543059861096E-2</v>
      </c>
      <c r="U382" s="2">
        <v>6.3120090517575396E-3</v>
      </c>
      <c r="V382" s="3">
        <f>I382/J382</f>
        <v>2.0704007329379676E-2</v>
      </c>
      <c r="W382">
        <v>31</v>
      </c>
      <c r="X382">
        <f t="shared" si="89"/>
        <v>3.4339872044851463</v>
      </c>
    </row>
    <row r="383" spans="1:24" x14ac:dyDescent="0.45">
      <c r="A383" t="s">
        <v>28</v>
      </c>
      <c r="B383">
        <v>26</v>
      </c>
      <c r="C383">
        <v>2016</v>
      </c>
      <c r="D383">
        <v>104516957</v>
      </c>
      <c r="E383">
        <v>8742774</v>
      </c>
      <c r="F383">
        <v>561732</v>
      </c>
      <c r="G383">
        <v>774733</v>
      </c>
      <c r="H383">
        <v>3400971</v>
      </c>
      <c r="I383">
        <v>1549719</v>
      </c>
      <c r="J383">
        <v>60179583</v>
      </c>
      <c r="K383">
        <v>3.8729071718276198</v>
      </c>
      <c r="L383">
        <v>18.127194558590599</v>
      </c>
      <c r="M383">
        <v>24.4994330579914</v>
      </c>
      <c r="N383" s="2">
        <f t="shared" si="98"/>
        <v>2.51849371521722</v>
      </c>
      <c r="O383" s="2">
        <v>0.47939999999999999</v>
      </c>
      <c r="P383" s="2">
        <f t="shared" si="92"/>
        <v>18.464859884147707</v>
      </c>
      <c r="Q383" s="2">
        <f t="shared" si="93"/>
        <v>5.3745537195461976E-3</v>
      </c>
      <c r="R383" s="2">
        <f t="shared" si="94"/>
        <v>8.3649335485341383E-2</v>
      </c>
      <c r="S383" s="2">
        <f t="shared" si="95"/>
        <v>0.22779759074687789</v>
      </c>
      <c r="T383" s="2">
        <v>6.6900089266042351E-2</v>
      </c>
      <c r="U383" s="2">
        <v>2.6682481696908199E-2</v>
      </c>
      <c r="V383" s="3">
        <f>I383/J383</f>
        <v>2.5751574250688976E-2</v>
      </c>
      <c r="W383">
        <v>31</v>
      </c>
      <c r="X383">
        <f t="shared" si="89"/>
        <v>3.4339872044851463</v>
      </c>
    </row>
    <row r="384" spans="1:24" x14ac:dyDescent="0.45">
      <c r="A384" t="s">
        <v>28</v>
      </c>
      <c r="B384">
        <v>26</v>
      </c>
      <c r="C384">
        <v>2017</v>
      </c>
      <c r="D384">
        <v>123159117</v>
      </c>
      <c r="E384">
        <v>8787521</v>
      </c>
      <c r="F384">
        <v>1124279</v>
      </c>
      <c r="G384">
        <v>633486</v>
      </c>
      <c r="H384">
        <v>4089462</v>
      </c>
      <c r="I384">
        <v>1986684</v>
      </c>
      <c r="J384">
        <v>79864220</v>
      </c>
      <c r="K384">
        <v>3.4878659520670099</v>
      </c>
      <c r="L384">
        <v>19.9794949903735</v>
      </c>
      <c r="M384">
        <v>24.408110955118602</v>
      </c>
      <c r="N384" s="2">
        <f t="shared" si="98"/>
        <v>2.4175930555181333</v>
      </c>
      <c r="O384" s="2">
        <v>0.46929999999999999</v>
      </c>
      <c r="P384" s="2">
        <f t="shared" ref="P384:P406" si="99">LN(D384)</f>
        <v>18.62898771145931</v>
      </c>
      <c r="Q384" s="2">
        <f t="shared" ref="Q384:Q406" si="100">F384/D384</f>
        <v>9.1286705149079619E-3</v>
      </c>
      <c r="R384" s="2">
        <f t="shared" ref="R384:R406" si="101">E384/D384</f>
        <v>7.1350958126794622E-2</v>
      </c>
      <c r="S384" s="2">
        <f t="shared" ref="S384:S406" si="102">G384/H384</f>
        <v>0.15490692907771242</v>
      </c>
      <c r="T384" s="2">
        <v>6.9401903735920603E-2</v>
      </c>
      <c r="U384" s="2">
        <v>3.5202568881161703E-2</v>
      </c>
      <c r="V384" s="3">
        <f>I384/J384</f>
        <v>2.487577040131363E-2</v>
      </c>
      <c r="W384">
        <v>0</v>
      </c>
      <c r="X384" t="e">
        <f t="shared" si="89"/>
        <v>#NUM!</v>
      </c>
    </row>
    <row r="385" spans="1:24" x14ac:dyDescent="0.45">
      <c r="A385" t="s">
        <v>28</v>
      </c>
      <c r="B385">
        <v>26</v>
      </c>
      <c r="C385">
        <v>2018</v>
      </c>
      <c r="D385">
        <v>139166216</v>
      </c>
      <c r="E385">
        <v>10667645</v>
      </c>
      <c r="F385">
        <v>2193921</v>
      </c>
      <c r="G385">
        <v>1260280</v>
      </c>
      <c r="H385">
        <v>6085773</v>
      </c>
      <c r="J385">
        <v>96138735</v>
      </c>
      <c r="K385">
        <v>3.9598095587873798</v>
      </c>
      <c r="L385">
        <v>20.511087535654799</v>
      </c>
      <c r="M385">
        <v>25.6092485278987</v>
      </c>
      <c r="N385" s="2">
        <f t="shared" si="98"/>
        <v>2.5559187094933411</v>
      </c>
      <c r="O385" s="2">
        <v>0.4355</v>
      </c>
      <c r="P385" s="2">
        <f t="shared" si="99"/>
        <v>18.75117957525848</v>
      </c>
      <c r="Q385" s="2">
        <f t="shared" si="100"/>
        <v>1.5764752847774493E-2</v>
      </c>
      <c r="R385" s="2">
        <f t="shared" si="101"/>
        <v>7.6653984757335064E-2</v>
      </c>
      <c r="S385" s="2">
        <f t="shared" si="102"/>
        <v>0.20708626496584739</v>
      </c>
      <c r="T385" s="2">
        <v>7.4650068557275087E-2</v>
      </c>
      <c r="U385" s="2">
        <v>3.5396280594264098E-2</v>
      </c>
      <c r="W385">
        <v>63</v>
      </c>
      <c r="X385">
        <f t="shared" si="89"/>
        <v>4.1431347263915326</v>
      </c>
    </row>
    <row r="386" spans="1:24" x14ac:dyDescent="0.45">
      <c r="A386" t="s">
        <v>28</v>
      </c>
      <c r="B386">
        <v>26</v>
      </c>
      <c r="C386">
        <v>2019</v>
      </c>
      <c r="D386">
        <v>184531485</v>
      </c>
      <c r="E386">
        <v>13429644</v>
      </c>
      <c r="F386">
        <v>3266402</v>
      </c>
      <c r="G386">
        <v>1938867</v>
      </c>
      <c r="H386">
        <v>8152082</v>
      </c>
      <c r="J386">
        <v>129199808</v>
      </c>
      <c r="K386">
        <v>4.0230286341449499</v>
      </c>
      <c r="L386">
        <v>21.918245362198</v>
      </c>
      <c r="M386">
        <v>26.1660509841828</v>
      </c>
      <c r="N386" s="2">
        <f t="shared" si="98"/>
        <v>2.5346960680465243</v>
      </c>
      <c r="O386" s="2">
        <v>0.48909999999999998</v>
      </c>
      <c r="P386" s="2">
        <f t="shared" si="99"/>
        <v>19.033330657292236</v>
      </c>
      <c r="Q386" s="2">
        <f t="shared" si="100"/>
        <v>1.7701055188495341E-2</v>
      </c>
      <c r="R386" s="2">
        <f t="shared" si="101"/>
        <v>7.2776978952941287E-2</v>
      </c>
      <c r="S386" s="2">
        <f t="shared" si="102"/>
        <v>0.23783703353327407</v>
      </c>
      <c r="T386" s="2">
        <v>7.3592627010500566E-2</v>
      </c>
      <c r="U386" s="2">
        <v>2.7958236745225001E-2</v>
      </c>
      <c r="W386">
        <v>0</v>
      </c>
      <c r="X386" t="e">
        <f t="shared" si="89"/>
        <v>#NUM!</v>
      </c>
    </row>
    <row r="387" spans="1:24" x14ac:dyDescent="0.45">
      <c r="A387" t="s">
        <v>28</v>
      </c>
      <c r="B387">
        <v>26</v>
      </c>
      <c r="C387">
        <v>2020</v>
      </c>
      <c r="D387">
        <v>244675677</v>
      </c>
      <c r="E387">
        <v>17973814</v>
      </c>
      <c r="F387">
        <v>4642334</v>
      </c>
      <c r="G387">
        <v>2719407</v>
      </c>
      <c r="H387">
        <v>11215514</v>
      </c>
      <c r="I387">
        <v>2957445</v>
      </c>
      <c r="J387">
        <v>169520235</v>
      </c>
      <c r="K387">
        <v>4.0399838659549498</v>
      </c>
      <c r="L387">
        <v>23.747196863397502</v>
      </c>
      <c r="M387">
        <v>26.4783455246633</v>
      </c>
      <c r="N387" s="2">
        <f t="shared" si="98"/>
        <v>2.5560748406181562</v>
      </c>
      <c r="O387" s="2">
        <v>0.56869999999999998</v>
      </c>
      <c r="P387" s="2">
        <f t="shared" si="99"/>
        <v>19.31544412420806</v>
      </c>
      <c r="Q387" s="2">
        <f t="shared" si="100"/>
        <v>1.8973418432597203E-2</v>
      </c>
      <c r="R387" s="2">
        <f t="shared" si="101"/>
        <v>7.3459749740469704E-2</v>
      </c>
      <c r="S387" s="2">
        <f t="shared" si="102"/>
        <v>0.24246833448738953</v>
      </c>
      <c r="T387" s="2">
        <v>2.8654132091227212E-2</v>
      </c>
      <c r="U387" s="2">
        <v>3.2209343665251404E-2</v>
      </c>
      <c r="V387" s="3">
        <f>I387/J387</f>
        <v>1.7445970388136851E-2</v>
      </c>
      <c r="W387">
        <v>0</v>
      </c>
      <c r="X387" t="e">
        <f t="shared" ref="X387:X406" si="103">LN(W387)</f>
        <v>#NUM!</v>
      </c>
    </row>
    <row r="388" spans="1:24" x14ac:dyDescent="0.45">
      <c r="A388" t="s">
        <v>28</v>
      </c>
      <c r="B388">
        <v>26</v>
      </c>
      <c r="C388">
        <v>2021</v>
      </c>
      <c r="D388">
        <v>309517129</v>
      </c>
      <c r="E388">
        <v>24290740</v>
      </c>
      <c r="F388">
        <v>6409750</v>
      </c>
      <c r="G388">
        <v>3074756</v>
      </c>
      <c r="H388">
        <v>14890903</v>
      </c>
      <c r="I388">
        <v>4670158</v>
      </c>
      <c r="J388">
        <v>201516754</v>
      </c>
      <c r="K388">
        <v>2.9295233226858799</v>
      </c>
      <c r="L388">
        <v>25.554737309897</v>
      </c>
      <c r="M388">
        <v>27.207097804316199</v>
      </c>
      <c r="N388" s="2">
        <f t="shared" si="98"/>
        <v>2.6266094231336621</v>
      </c>
      <c r="P388" s="2">
        <f t="shared" si="99"/>
        <v>19.550523992660889</v>
      </c>
      <c r="Q388" s="2">
        <f t="shared" si="100"/>
        <v>2.0708870041244148E-2</v>
      </c>
      <c r="R388" s="2">
        <f t="shared" si="101"/>
        <v>7.8479469225110315E-2</v>
      </c>
      <c r="S388" s="2">
        <f t="shared" si="102"/>
        <v>0.20648553012533893</v>
      </c>
      <c r="T388" s="2">
        <v>2.5615641067098523E-2</v>
      </c>
      <c r="U388" s="2">
        <v>1.8347155481044399E-2</v>
      </c>
      <c r="V388" s="3">
        <f>I388/J388</f>
        <v>2.3175035858308834E-2</v>
      </c>
      <c r="W388">
        <v>0</v>
      </c>
      <c r="X388" t="e">
        <f t="shared" si="103"/>
        <v>#NUM!</v>
      </c>
    </row>
    <row r="389" spans="1:24" x14ac:dyDescent="0.45">
      <c r="A389" t="s">
        <v>28</v>
      </c>
      <c r="B389">
        <v>26</v>
      </c>
      <c r="C389">
        <v>2022</v>
      </c>
      <c r="D389">
        <v>342798925</v>
      </c>
      <c r="E389">
        <v>32651042</v>
      </c>
      <c r="F389">
        <v>8468767</v>
      </c>
      <c r="G389">
        <v>3095283</v>
      </c>
      <c r="H389">
        <v>18057838</v>
      </c>
      <c r="I389">
        <v>5686839</v>
      </c>
      <c r="J389">
        <v>231944016</v>
      </c>
      <c r="K389">
        <v>3.0268176838110499</v>
      </c>
      <c r="L389">
        <v>19.886983507523201</v>
      </c>
      <c r="M389">
        <v>27.746488205671799</v>
      </c>
      <c r="N389" s="2">
        <f t="shared" si="98"/>
        <v>2.8166901678675504</v>
      </c>
      <c r="O389" s="2">
        <v>0.6038</v>
      </c>
      <c r="P389" s="2">
        <f t="shared" si="99"/>
        <v>19.65265460874366</v>
      </c>
      <c r="Q389" s="2">
        <f t="shared" si="100"/>
        <v>2.47047653372892E-2</v>
      </c>
      <c r="R389" s="2">
        <f t="shared" si="101"/>
        <v>9.5248379206556724E-2</v>
      </c>
      <c r="S389" s="2">
        <f t="shared" si="102"/>
        <v>0.17140939020496251</v>
      </c>
      <c r="T389" s="2">
        <v>8.0197923744283764E-2</v>
      </c>
      <c r="U389" s="2">
        <v>3.1565074996312899E-2</v>
      </c>
      <c r="V389" s="3">
        <f>I389/J389</f>
        <v>2.451815355305394E-2</v>
      </c>
      <c r="W389">
        <v>15</v>
      </c>
      <c r="X389">
        <f t="shared" si="103"/>
        <v>2.7080502011022101</v>
      </c>
    </row>
    <row r="390" spans="1:24" x14ac:dyDescent="0.45">
      <c r="A390" t="s">
        <v>28</v>
      </c>
      <c r="B390">
        <v>26</v>
      </c>
      <c r="C390">
        <v>2023</v>
      </c>
      <c r="D390">
        <v>409881373</v>
      </c>
      <c r="E390">
        <v>37939587</v>
      </c>
      <c r="F390">
        <v>8563053</v>
      </c>
      <c r="G390">
        <v>4799940</v>
      </c>
      <c r="H390">
        <v>22160493</v>
      </c>
      <c r="I390">
        <v>8374591</v>
      </c>
      <c r="J390">
        <v>266345545</v>
      </c>
      <c r="K390">
        <v>3.07187771218757</v>
      </c>
      <c r="L390">
        <v>19.004474740999601</v>
      </c>
      <c r="M390">
        <v>27.341668248477099</v>
      </c>
      <c r="N390" s="2">
        <f t="shared" si="98"/>
        <v>2.7609855439409006</v>
      </c>
      <c r="P390" s="2">
        <f t="shared" si="99"/>
        <v>19.831378341651085</v>
      </c>
      <c r="Q390" s="2">
        <f t="shared" si="100"/>
        <v>2.0891539757772793E-2</v>
      </c>
      <c r="R390" s="2">
        <f t="shared" si="101"/>
        <v>9.256235950004979E-2</v>
      </c>
      <c r="S390" s="2">
        <f t="shared" si="102"/>
        <v>0.21659897187305355</v>
      </c>
      <c r="T390" s="2">
        <v>5.0499999999999996E-2</v>
      </c>
      <c r="U390" s="2">
        <v>3.2500000000000001E-2</v>
      </c>
      <c r="V390" s="3">
        <f>I390/J390</f>
        <v>3.144257960087149E-2</v>
      </c>
      <c r="W390">
        <v>0</v>
      </c>
      <c r="X390" t="e">
        <f t="shared" si="103"/>
        <v>#NUM!</v>
      </c>
    </row>
    <row r="391" spans="1:24" x14ac:dyDescent="0.45">
      <c r="A391" t="s">
        <v>28</v>
      </c>
      <c r="B391">
        <v>26</v>
      </c>
      <c r="C391">
        <v>2024</v>
      </c>
      <c r="D391">
        <v>493158370</v>
      </c>
      <c r="E391">
        <v>41861809</v>
      </c>
      <c r="F391">
        <v>7204470</v>
      </c>
      <c r="G391">
        <v>3818640</v>
      </c>
      <c r="H391">
        <v>20569052</v>
      </c>
      <c r="I391">
        <v>11373514</v>
      </c>
      <c r="J391">
        <v>324009713</v>
      </c>
      <c r="K391">
        <v>3.0966938195511502</v>
      </c>
      <c r="L391">
        <v>27.889422983664101</v>
      </c>
      <c r="M391">
        <v>27.243425052219401</v>
      </c>
      <c r="N391" s="2">
        <f t="shared" si="98"/>
        <v>2.6296858994531407</v>
      </c>
      <c r="P391" s="2">
        <f t="shared" si="99"/>
        <v>20.016340917743818</v>
      </c>
      <c r="Q391" s="2">
        <f t="shared" si="100"/>
        <v>1.4608836508239737E-2</v>
      </c>
      <c r="R391" s="2">
        <f t="shared" si="101"/>
        <v>8.4885123211028535E-2</v>
      </c>
      <c r="S391" s="2">
        <f t="shared" si="102"/>
        <v>0.18564978103998181</v>
      </c>
      <c r="T391" s="2">
        <v>7.0900000000000005E-2</v>
      </c>
      <c r="U391" s="2">
        <v>3.6299999999999999E-2</v>
      </c>
      <c r="V391" s="3">
        <f>I391/J391</f>
        <v>3.5102385958411066E-2</v>
      </c>
      <c r="W391">
        <v>0</v>
      </c>
      <c r="X391" t="e">
        <f t="shared" si="103"/>
        <v>#NUM!</v>
      </c>
    </row>
    <row r="392" spans="1:24" x14ac:dyDescent="0.45">
      <c r="A392" t="s">
        <v>29</v>
      </c>
      <c r="B392">
        <v>27</v>
      </c>
      <c r="C392">
        <v>2010</v>
      </c>
      <c r="D392">
        <v>59807023</v>
      </c>
      <c r="E392">
        <v>5204731</v>
      </c>
      <c r="F392">
        <v>503325</v>
      </c>
      <c r="G392">
        <v>231609</v>
      </c>
      <c r="H392">
        <v>1308646</v>
      </c>
      <c r="J392">
        <v>25323735</v>
      </c>
      <c r="K392">
        <v>3.2718982631890698</v>
      </c>
      <c r="L392">
        <v>9.7075901186610398</v>
      </c>
      <c r="M392">
        <v>17.334389639963199</v>
      </c>
      <c r="N392" s="2">
        <f t="shared" ref="N392:N406" si="104">LN((Q392+R392)/(_xlfn.STDEV.S($Q$392:$Q$406)))</f>
        <v>2.5892359991208673</v>
      </c>
      <c r="O392" s="2">
        <v>0.64490000000000003</v>
      </c>
      <c r="P392" s="2">
        <f t="shared" si="99"/>
        <v>17.906633653496723</v>
      </c>
      <c r="Q392" s="2">
        <f t="shared" si="100"/>
        <v>8.4158176540571165E-3</v>
      </c>
      <c r="R392" s="2">
        <f t="shared" si="101"/>
        <v>8.7025415058696362E-2</v>
      </c>
      <c r="S392" s="2">
        <f t="shared" si="102"/>
        <v>0.17698369154072224</v>
      </c>
      <c r="T392" s="2">
        <v>6.4232448223948205E-2</v>
      </c>
      <c r="U392" s="2">
        <v>9.20746648778413E-2</v>
      </c>
      <c r="W392">
        <v>5</v>
      </c>
      <c r="X392">
        <f t="shared" si="103"/>
        <v>1.6094379124341003</v>
      </c>
    </row>
    <row r="393" spans="1:24" x14ac:dyDescent="0.45">
      <c r="A393" t="s">
        <v>29</v>
      </c>
      <c r="B393">
        <v>27</v>
      </c>
      <c r="C393">
        <v>2011</v>
      </c>
      <c r="D393">
        <v>82817947</v>
      </c>
      <c r="E393">
        <v>5996245</v>
      </c>
      <c r="F393">
        <v>799688</v>
      </c>
      <c r="G393">
        <v>470215</v>
      </c>
      <c r="H393">
        <v>2515324</v>
      </c>
      <c r="J393">
        <v>29183643</v>
      </c>
      <c r="K393">
        <v>3.59352181546691</v>
      </c>
      <c r="L393">
        <v>10.9472107468528</v>
      </c>
      <c r="M393">
        <v>19.912794817213701</v>
      </c>
      <c r="N393" s="2">
        <f t="shared" si="104"/>
        <v>2.4381601402038382</v>
      </c>
      <c r="P393" s="2">
        <f t="shared" si="99"/>
        <v>18.23215534707607</v>
      </c>
      <c r="Q393" s="2">
        <f t="shared" si="100"/>
        <v>9.6559746886746654E-3</v>
      </c>
      <c r="R393" s="2">
        <f t="shared" si="101"/>
        <v>7.240272449641863E-2</v>
      </c>
      <c r="S393" s="2">
        <f t="shared" si="102"/>
        <v>0.18694013176831295</v>
      </c>
      <c r="T393" s="2">
        <v>6.4131688968168274E-2</v>
      </c>
      <c r="U393" s="2">
        <v>0.18677732277070699</v>
      </c>
      <c r="W393">
        <v>18</v>
      </c>
      <c r="X393">
        <f t="shared" si="103"/>
        <v>2.8903717578961645</v>
      </c>
    </row>
    <row r="394" spans="1:24" x14ac:dyDescent="0.45">
      <c r="A394" t="s">
        <v>29</v>
      </c>
      <c r="B394">
        <v>27</v>
      </c>
      <c r="C394">
        <v>2012</v>
      </c>
      <c r="D394">
        <v>102576275</v>
      </c>
      <c r="E394">
        <v>6637017</v>
      </c>
      <c r="F394">
        <v>643394</v>
      </c>
      <c r="G394">
        <v>166261</v>
      </c>
      <c r="H394">
        <v>3133422</v>
      </c>
      <c r="J394">
        <v>36903305</v>
      </c>
      <c r="K394">
        <v>3.1504539182237998</v>
      </c>
      <c r="L394">
        <v>12.0614890394782</v>
      </c>
      <c r="M394">
        <v>20.9770541106558</v>
      </c>
      <c r="N394" s="2">
        <f t="shared" si="104"/>
        <v>2.2930612327736295</v>
      </c>
      <c r="O394" s="2">
        <v>0.55430000000000001</v>
      </c>
      <c r="P394" s="2">
        <f t="shared" si="99"/>
        <v>18.446117226144594</v>
      </c>
      <c r="Q394" s="2">
        <f t="shared" si="100"/>
        <v>6.272347090006924E-3</v>
      </c>
      <c r="R394" s="2">
        <f t="shared" si="101"/>
        <v>6.4703236688990709E-2</v>
      </c>
      <c r="S394" s="2">
        <f t="shared" si="102"/>
        <v>5.3060519776780786E-2</v>
      </c>
      <c r="T394" s="2">
        <v>5.5045447041188994E-2</v>
      </c>
      <c r="U394" s="2">
        <v>9.0947033955719195E-2</v>
      </c>
      <c r="W394">
        <v>9</v>
      </c>
      <c r="X394">
        <f t="shared" si="103"/>
        <v>2.1972245773362196</v>
      </c>
    </row>
    <row r="395" spans="1:24" x14ac:dyDescent="0.45">
      <c r="A395" t="s">
        <v>29</v>
      </c>
      <c r="B395">
        <v>27</v>
      </c>
      <c r="C395">
        <v>2013</v>
      </c>
      <c r="D395">
        <v>121264370</v>
      </c>
      <c r="E395">
        <v>7726697</v>
      </c>
      <c r="F395">
        <v>1017620</v>
      </c>
      <c r="G395">
        <v>1006084</v>
      </c>
      <c r="H395">
        <v>5088671</v>
      </c>
      <c r="I395">
        <v>1474296</v>
      </c>
      <c r="J395">
        <v>52474123</v>
      </c>
      <c r="K395">
        <v>3.6926464082046402</v>
      </c>
      <c r="L395">
        <v>12.840142796842899</v>
      </c>
      <c r="M395">
        <v>22.1573299611807</v>
      </c>
      <c r="N395" s="2">
        <f t="shared" si="104"/>
        <v>2.3089115496838946</v>
      </c>
      <c r="O395" s="2">
        <v>0.58140000000000003</v>
      </c>
      <c r="P395" s="2">
        <f t="shared" si="99"/>
        <v>18.613483596223382</v>
      </c>
      <c r="Q395" s="2">
        <f t="shared" si="100"/>
        <v>8.3917477161675764E-3</v>
      </c>
      <c r="R395" s="2">
        <f t="shared" si="101"/>
        <v>6.3717784539679703E-2</v>
      </c>
      <c r="S395" s="2">
        <f t="shared" si="102"/>
        <v>0.19771056136268192</v>
      </c>
      <c r="T395" s="2">
        <v>5.5535108102607179E-2</v>
      </c>
      <c r="U395" s="2">
        <v>6.5926747589919191E-2</v>
      </c>
      <c r="V395" s="3">
        <f t="shared" ref="V395:V406" si="105">I395/J395</f>
        <v>2.8095676796732742E-2</v>
      </c>
      <c r="W395">
        <v>21</v>
      </c>
      <c r="X395">
        <f t="shared" si="103"/>
        <v>3.044522437723423</v>
      </c>
    </row>
    <row r="396" spans="1:24" x14ac:dyDescent="0.45">
      <c r="A396" t="s">
        <v>29</v>
      </c>
      <c r="B396">
        <v>27</v>
      </c>
      <c r="C396">
        <v>2014</v>
      </c>
      <c r="D396">
        <v>163241378</v>
      </c>
      <c r="E396">
        <v>8980295</v>
      </c>
      <c r="F396">
        <v>1253593</v>
      </c>
      <c r="G396">
        <v>979974</v>
      </c>
      <c r="H396">
        <v>6271061</v>
      </c>
      <c r="I396">
        <v>1988942</v>
      </c>
      <c r="J396">
        <v>78378832</v>
      </c>
      <c r="K396">
        <v>3.8792484082456702</v>
      </c>
      <c r="L396">
        <v>14.6258764318214</v>
      </c>
      <c r="M396">
        <v>22.979955992336901</v>
      </c>
      <c r="N396" s="2">
        <f t="shared" si="104"/>
        <v>2.1689551986451301</v>
      </c>
      <c r="P396" s="2">
        <f t="shared" si="99"/>
        <v>18.910740510024691</v>
      </c>
      <c r="Q396" s="2">
        <f t="shared" si="100"/>
        <v>7.679382613395974E-3</v>
      </c>
      <c r="R396" s="2">
        <f t="shared" si="101"/>
        <v>5.5012369474117036E-2</v>
      </c>
      <c r="S396" s="2">
        <f t="shared" si="102"/>
        <v>0.15626925013167628</v>
      </c>
      <c r="T396" s="2">
        <v>6.4222431211856723E-2</v>
      </c>
      <c r="U396" s="2">
        <v>4.0845544663761703E-2</v>
      </c>
      <c r="V396" s="3">
        <f t="shared" si="105"/>
        <v>2.5376009685880493E-2</v>
      </c>
      <c r="W396">
        <v>16</v>
      </c>
      <c r="X396">
        <f t="shared" si="103"/>
        <v>2.7725887222397811</v>
      </c>
    </row>
    <row r="397" spans="1:24" x14ac:dyDescent="0.45">
      <c r="A397" t="s">
        <v>29</v>
      </c>
      <c r="B397">
        <v>27</v>
      </c>
      <c r="C397">
        <v>2015</v>
      </c>
      <c r="D397">
        <v>193876428</v>
      </c>
      <c r="E397">
        <v>13388922</v>
      </c>
      <c r="F397">
        <v>2395868</v>
      </c>
      <c r="G397">
        <v>1712874</v>
      </c>
      <c r="H397">
        <v>12066311</v>
      </c>
      <c r="I397">
        <v>3145045</v>
      </c>
      <c r="J397">
        <v>116804247</v>
      </c>
      <c r="K397">
        <v>3.7957611751290998</v>
      </c>
      <c r="L397">
        <v>15.8219673058815</v>
      </c>
      <c r="M397">
        <v>24.006275960852001</v>
      </c>
      <c r="N397" s="2">
        <f t="shared" si="104"/>
        <v>2.4303064154068612</v>
      </c>
      <c r="P397" s="2">
        <f t="shared" si="99"/>
        <v>19.082731545004449</v>
      </c>
      <c r="Q397" s="2">
        <f t="shared" si="100"/>
        <v>1.2357706528407878E-2</v>
      </c>
      <c r="R397" s="2">
        <f t="shared" si="101"/>
        <v>6.9059050334886504E-2</v>
      </c>
      <c r="S397" s="2">
        <f t="shared" si="102"/>
        <v>0.14195506812314054</v>
      </c>
      <c r="T397" s="2">
        <v>6.9871543059861096E-2</v>
      </c>
      <c r="U397" s="2">
        <v>6.3120090517575396E-3</v>
      </c>
      <c r="V397" s="3">
        <f t="shared" si="105"/>
        <v>2.6925776080727614E-2</v>
      </c>
      <c r="W397">
        <v>0</v>
      </c>
      <c r="X397" t="e">
        <f t="shared" si="103"/>
        <v>#NUM!</v>
      </c>
    </row>
    <row r="398" spans="1:24" x14ac:dyDescent="0.45">
      <c r="A398" t="s">
        <v>29</v>
      </c>
      <c r="B398">
        <v>27</v>
      </c>
      <c r="C398">
        <v>2016</v>
      </c>
      <c r="D398">
        <v>228770918</v>
      </c>
      <c r="E398">
        <v>17177528</v>
      </c>
      <c r="F398">
        <v>3935045</v>
      </c>
      <c r="G398">
        <v>1695898</v>
      </c>
      <c r="H398">
        <v>16863757</v>
      </c>
      <c r="I398">
        <v>4040568</v>
      </c>
      <c r="J398">
        <v>144673213</v>
      </c>
      <c r="K398">
        <v>3.8729071718276198</v>
      </c>
      <c r="L398">
        <v>18.127194558590599</v>
      </c>
      <c r="M398">
        <v>24.4994330579914</v>
      </c>
      <c r="N398" s="2">
        <f t="shared" si="104"/>
        <v>2.5556281793066278</v>
      </c>
      <c r="O398" s="2">
        <v>0.46210000000000001</v>
      </c>
      <c r="P398" s="2">
        <f t="shared" si="99"/>
        <v>19.248231702747827</v>
      </c>
      <c r="Q398" s="2">
        <f t="shared" si="100"/>
        <v>1.7200809588918117E-2</v>
      </c>
      <c r="R398" s="2">
        <f t="shared" si="101"/>
        <v>7.5086152340394952E-2</v>
      </c>
      <c r="S398" s="2">
        <f t="shared" si="102"/>
        <v>0.1005646606506486</v>
      </c>
      <c r="T398" s="2">
        <v>6.6900089266042351E-2</v>
      </c>
      <c r="U398" s="2">
        <v>2.6682481696908199E-2</v>
      </c>
      <c r="V398" s="3">
        <f t="shared" si="105"/>
        <v>2.792892973214053E-2</v>
      </c>
      <c r="W398">
        <v>60</v>
      </c>
      <c r="X398">
        <f t="shared" si="103"/>
        <v>4.0943445622221004</v>
      </c>
    </row>
    <row r="399" spans="1:24" x14ac:dyDescent="0.45">
      <c r="A399" t="s">
        <v>29</v>
      </c>
      <c r="B399">
        <v>27</v>
      </c>
      <c r="C399">
        <v>2017</v>
      </c>
      <c r="D399">
        <v>277752314</v>
      </c>
      <c r="E399">
        <v>29695710</v>
      </c>
      <c r="F399">
        <v>6440767</v>
      </c>
      <c r="G399">
        <v>4411665</v>
      </c>
      <c r="H399">
        <v>25026091</v>
      </c>
      <c r="I399">
        <v>6200022</v>
      </c>
      <c r="J399">
        <v>182666213</v>
      </c>
      <c r="K399">
        <v>3.4878659520670099</v>
      </c>
      <c r="L399">
        <v>19.9794949903735</v>
      </c>
      <c r="M399">
        <v>24.408110955118602</v>
      </c>
      <c r="N399" s="2">
        <f t="shared" si="104"/>
        <v>2.8990536229748356</v>
      </c>
      <c r="O399" s="2">
        <v>0.38569999999999999</v>
      </c>
      <c r="P399" s="2">
        <f t="shared" si="99"/>
        <v>19.442240317682433</v>
      </c>
      <c r="Q399" s="2">
        <f t="shared" si="100"/>
        <v>2.3188886915988034E-2</v>
      </c>
      <c r="R399" s="2">
        <f t="shared" si="101"/>
        <v>0.10691435679632177</v>
      </c>
      <c r="S399" s="2">
        <f t="shared" si="102"/>
        <v>0.17628262440186923</v>
      </c>
      <c r="T399" s="2">
        <v>6.9401903735920603E-2</v>
      </c>
      <c r="U399" s="2">
        <v>3.5202568881161703E-2</v>
      </c>
      <c r="V399" s="3">
        <f t="shared" si="105"/>
        <v>3.3941810574460204E-2</v>
      </c>
      <c r="W399">
        <v>77</v>
      </c>
      <c r="X399">
        <f t="shared" si="103"/>
        <v>4.3438054218536841</v>
      </c>
    </row>
    <row r="400" spans="1:24" x14ac:dyDescent="0.45">
      <c r="A400" t="s">
        <v>29</v>
      </c>
      <c r="B400">
        <v>27</v>
      </c>
      <c r="C400">
        <v>2018</v>
      </c>
      <c r="D400">
        <v>323291119</v>
      </c>
      <c r="E400">
        <v>34750069</v>
      </c>
      <c r="F400">
        <v>7355568</v>
      </c>
      <c r="G400">
        <v>6384088</v>
      </c>
      <c r="H400">
        <v>31085663</v>
      </c>
      <c r="I400">
        <v>7766265</v>
      </c>
      <c r="J400">
        <v>221961996</v>
      </c>
      <c r="K400">
        <v>3.9598095587873798</v>
      </c>
      <c r="L400">
        <v>20.511087535654799</v>
      </c>
      <c r="M400">
        <v>25.6092485278987</v>
      </c>
      <c r="N400" s="2">
        <f t="shared" si="104"/>
        <v>2.9001089969952187</v>
      </c>
      <c r="O400" s="2">
        <v>0.4204</v>
      </c>
      <c r="P400" s="2">
        <f t="shared" si="99"/>
        <v>19.594063772476108</v>
      </c>
      <c r="Q400" s="2">
        <f t="shared" si="100"/>
        <v>2.2752149897442744E-2</v>
      </c>
      <c r="R400" s="2">
        <f t="shared" si="101"/>
        <v>0.10748847387917267</v>
      </c>
      <c r="S400" s="2">
        <f t="shared" si="102"/>
        <v>0.20537081676527214</v>
      </c>
      <c r="T400" s="2">
        <v>7.4650068557275087E-2</v>
      </c>
      <c r="U400" s="2">
        <v>3.5396280594264098E-2</v>
      </c>
      <c r="V400" s="3">
        <f t="shared" si="105"/>
        <v>3.4989165442538189E-2</v>
      </c>
      <c r="W400">
        <v>75</v>
      </c>
      <c r="X400">
        <f t="shared" si="103"/>
        <v>4.3174881135363101</v>
      </c>
    </row>
    <row r="401" spans="1:24" x14ac:dyDescent="0.45">
      <c r="A401" t="s">
        <v>29</v>
      </c>
      <c r="B401">
        <v>27</v>
      </c>
      <c r="C401">
        <v>2019</v>
      </c>
      <c r="D401">
        <v>377204126</v>
      </c>
      <c r="E401">
        <v>42209742</v>
      </c>
      <c r="F401">
        <v>8260263</v>
      </c>
      <c r="G401">
        <v>5685044</v>
      </c>
      <c r="H401">
        <v>36355505</v>
      </c>
      <c r="I401">
        <v>8797544</v>
      </c>
      <c r="J401">
        <v>257183959</v>
      </c>
      <c r="K401">
        <v>4.0230286341449499</v>
      </c>
      <c r="L401">
        <v>21.918245362198</v>
      </c>
      <c r="M401">
        <v>26.1660509841828</v>
      </c>
      <c r="N401" s="2">
        <f t="shared" si="104"/>
        <v>2.9270732945222551</v>
      </c>
      <c r="O401" s="2">
        <v>0.45150000000000001</v>
      </c>
      <c r="P401" s="2">
        <f t="shared" si="99"/>
        <v>19.748297047157919</v>
      </c>
      <c r="Q401" s="2">
        <f t="shared" si="100"/>
        <v>2.1898654947374568E-2</v>
      </c>
      <c r="R401" s="2">
        <f t="shared" si="101"/>
        <v>0.11190159144759726</v>
      </c>
      <c r="S401" s="2">
        <f t="shared" si="102"/>
        <v>0.15637367710887251</v>
      </c>
      <c r="T401" s="2">
        <v>7.3592627010500566E-2</v>
      </c>
      <c r="U401" s="2">
        <v>2.7958236745225001E-2</v>
      </c>
      <c r="V401" s="3">
        <f t="shared" si="105"/>
        <v>3.4207203412713619E-2</v>
      </c>
      <c r="W401">
        <v>52</v>
      </c>
      <c r="X401">
        <f t="shared" si="103"/>
        <v>3.9512437185814275</v>
      </c>
    </row>
    <row r="402" spans="1:24" x14ac:dyDescent="0.45">
      <c r="A402" t="s">
        <v>29</v>
      </c>
      <c r="B402">
        <v>27</v>
      </c>
      <c r="C402">
        <v>2020</v>
      </c>
      <c r="D402">
        <v>419026527</v>
      </c>
      <c r="E402">
        <v>52793502</v>
      </c>
      <c r="F402">
        <v>10413760</v>
      </c>
      <c r="G402">
        <v>6687291</v>
      </c>
      <c r="H402">
        <v>39033114</v>
      </c>
      <c r="I402">
        <v>9924188</v>
      </c>
      <c r="J402">
        <v>290816086</v>
      </c>
      <c r="K402">
        <v>4.0399838659549498</v>
      </c>
      <c r="L402">
        <v>23.747196863397502</v>
      </c>
      <c r="M402">
        <v>26.4783455246633</v>
      </c>
      <c r="N402" s="2">
        <f t="shared" si="104"/>
        <v>3.0469655557293445</v>
      </c>
      <c r="O402" s="2">
        <v>0.52229999999999999</v>
      </c>
      <c r="P402" s="2">
        <f t="shared" si="99"/>
        <v>19.85344478614493</v>
      </c>
      <c r="Q402" s="2">
        <f t="shared" si="100"/>
        <v>2.4852269078420423E-2</v>
      </c>
      <c r="R402" s="2">
        <f t="shared" si="101"/>
        <v>0.12599083494301067</v>
      </c>
      <c r="S402" s="2">
        <f t="shared" si="102"/>
        <v>0.17132353314162943</v>
      </c>
      <c r="T402" s="2">
        <v>2.8654132091227212E-2</v>
      </c>
      <c r="U402" s="2">
        <v>3.2209343665251404E-2</v>
      </c>
      <c r="V402" s="3">
        <f t="shared" si="105"/>
        <v>3.4125306259709443E-2</v>
      </c>
      <c r="W402">
        <v>49</v>
      </c>
      <c r="X402">
        <f t="shared" si="103"/>
        <v>3.8918202981106265</v>
      </c>
    </row>
    <row r="403" spans="1:24" x14ac:dyDescent="0.45">
      <c r="A403" t="s">
        <v>29</v>
      </c>
      <c r="B403">
        <v>27</v>
      </c>
      <c r="C403">
        <v>2021</v>
      </c>
      <c r="D403">
        <v>547409439</v>
      </c>
      <c r="E403">
        <v>86278147</v>
      </c>
      <c r="F403">
        <v>11477170</v>
      </c>
      <c r="G403">
        <v>9952646</v>
      </c>
      <c r="H403">
        <v>44301475</v>
      </c>
      <c r="I403">
        <v>16244163</v>
      </c>
      <c r="J403">
        <v>355281219</v>
      </c>
      <c r="K403">
        <v>2.9295233226858799</v>
      </c>
      <c r="L403">
        <v>25.554737309897</v>
      </c>
      <c r="M403">
        <v>27.207097804316199</v>
      </c>
      <c r="N403" s="2">
        <f t="shared" si="104"/>
        <v>3.2157511357530257</v>
      </c>
      <c r="P403" s="2">
        <f t="shared" si="99"/>
        <v>20.120707597754304</v>
      </c>
      <c r="Q403" s="2">
        <f t="shared" si="100"/>
        <v>2.0966335584140339E-2</v>
      </c>
      <c r="R403" s="2">
        <f t="shared" si="101"/>
        <v>0.15761172689607203</v>
      </c>
      <c r="S403" s="2">
        <f t="shared" si="102"/>
        <v>0.22465721513787068</v>
      </c>
      <c r="T403" s="2">
        <v>2.5615641067098523E-2</v>
      </c>
      <c r="U403" s="2">
        <v>1.8347155481044399E-2</v>
      </c>
      <c r="V403" s="3">
        <f t="shared" si="105"/>
        <v>4.5721986221849795E-2</v>
      </c>
      <c r="W403">
        <v>81</v>
      </c>
      <c r="X403">
        <f t="shared" si="103"/>
        <v>4.3944491546724391</v>
      </c>
    </row>
    <row r="404" spans="1:24" x14ac:dyDescent="0.45">
      <c r="A404" t="s">
        <v>29</v>
      </c>
      <c r="B404">
        <v>27</v>
      </c>
      <c r="C404">
        <v>2022</v>
      </c>
      <c r="D404">
        <v>631012886</v>
      </c>
      <c r="E404">
        <v>103501920</v>
      </c>
      <c r="F404">
        <v>16908807</v>
      </c>
      <c r="G404">
        <v>16776031</v>
      </c>
      <c r="H404">
        <v>57797089</v>
      </c>
      <c r="I404">
        <v>25137134</v>
      </c>
      <c r="J404">
        <v>438338047</v>
      </c>
      <c r="K404">
        <v>3.0268176838110499</v>
      </c>
      <c r="L404">
        <v>19.886983507523201</v>
      </c>
      <c r="M404">
        <v>27.746488205671799</v>
      </c>
      <c r="N404" s="2">
        <f t="shared" si="104"/>
        <v>3.2820629239996042</v>
      </c>
      <c r="O404" s="2">
        <v>0.68120000000000003</v>
      </c>
      <c r="P404" s="2">
        <f t="shared" si="99"/>
        <v>20.26283684185006</v>
      </c>
      <c r="Q404" s="2">
        <f t="shared" si="100"/>
        <v>2.6796294299447951E-2</v>
      </c>
      <c r="R404" s="2">
        <f t="shared" si="101"/>
        <v>0.16402504971982457</v>
      </c>
      <c r="S404" s="2">
        <f t="shared" si="102"/>
        <v>0.29025736919034106</v>
      </c>
      <c r="T404" s="2">
        <v>8.0197923744283764E-2</v>
      </c>
      <c r="U404" s="2">
        <v>3.1565074996312899E-2</v>
      </c>
      <c r="V404" s="3">
        <f t="shared" si="105"/>
        <v>5.734645708269992E-2</v>
      </c>
      <c r="W404">
        <v>125</v>
      </c>
      <c r="X404">
        <f t="shared" si="103"/>
        <v>4.8283137373023015</v>
      </c>
    </row>
    <row r="405" spans="1:24" x14ac:dyDescent="0.45">
      <c r="A405" t="s">
        <v>29</v>
      </c>
      <c r="B405">
        <v>27</v>
      </c>
      <c r="C405">
        <v>2023</v>
      </c>
      <c r="D405">
        <v>817566922</v>
      </c>
      <c r="E405">
        <v>139795527</v>
      </c>
      <c r="F405">
        <v>8494171</v>
      </c>
      <c r="G405">
        <v>11564812</v>
      </c>
      <c r="H405">
        <v>49739488</v>
      </c>
      <c r="I405">
        <v>28427854</v>
      </c>
      <c r="J405">
        <v>566271290</v>
      </c>
      <c r="K405">
        <v>3.07187771218757</v>
      </c>
      <c r="L405">
        <v>19.004474740999601</v>
      </c>
      <c r="M405">
        <v>27.341668248477099</v>
      </c>
      <c r="N405" s="2">
        <f t="shared" si="104"/>
        <v>3.2313156025352643</v>
      </c>
      <c r="P405" s="2">
        <f t="shared" si="99"/>
        <v>20.52184331915889</v>
      </c>
      <c r="Q405" s="2">
        <f t="shared" si="100"/>
        <v>1.0389572732738325E-2</v>
      </c>
      <c r="R405" s="2">
        <f t="shared" si="101"/>
        <v>0.17098970523173881</v>
      </c>
      <c r="S405" s="2">
        <f t="shared" si="102"/>
        <v>0.23250766071415935</v>
      </c>
      <c r="T405" s="2">
        <v>5.0499999999999996E-2</v>
      </c>
      <c r="U405" s="2">
        <v>3.2500000000000001E-2</v>
      </c>
      <c r="V405" s="3">
        <f t="shared" si="105"/>
        <v>5.0201828173206522E-2</v>
      </c>
      <c r="W405">
        <v>115</v>
      </c>
      <c r="X405">
        <f t="shared" si="103"/>
        <v>4.7449321283632502</v>
      </c>
    </row>
    <row r="406" spans="1:24" x14ac:dyDescent="0.45">
      <c r="A406" t="s">
        <v>29</v>
      </c>
      <c r="B406">
        <v>27</v>
      </c>
      <c r="C406">
        <v>2024</v>
      </c>
      <c r="D406">
        <v>923847637</v>
      </c>
      <c r="E406">
        <v>147275262</v>
      </c>
      <c r="F406">
        <v>15986826</v>
      </c>
      <c r="G406">
        <v>13174649</v>
      </c>
      <c r="H406">
        <v>62255056</v>
      </c>
      <c r="I406">
        <v>29070165</v>
      </c>
      <c r="J406">
        <v>692875738</v>
      </c>
      <c r="K406">
        <v>3.0966938195511502</v>
      </c>
      <c r="L406">
        <v>27.889422983664101</v>
      </c>
      <c r="M406">
        <v>27.243425052219401</v>
      </c>
      <c r="N406" s="2">
        <f t="shared" si="104"/>
        <v>3.2052902326287018</v>
      </c>
      <c r="P406" s="2">
        <f t="shared" si="99"/>
        <v>20.644057720987636</v>
      </c>
      <c r="Q406" s="2">
        <f t="shared" si="100"/>
        <v>1.7304613184825412E-2</v>
      </c>
      <c r="R406" s="2">
        <f t="shared" si="101"/>
        <v>0.15941509844442023</v>
      </c>
      <c r="S406" s="2">
        <f t="shared" si="102"/>
        <v>0.21162375952243942</v>
      </c>
      <c r="T406" s="2">
        <v>7.0900000000000005E-2</v>
      </c>
      <c r="U406" s="2">
        <v>3.6299999999999999E-2</v>
      </c>
      <c r="V406" s="3">
        <f t="shared" si="105"/>
        <v>4.195581315043824E-2</v>
      </c>
      <c r="W406">
        <v>105</v>
      </c>
      <c r="X406">
        <f t="shared" si="103"/>
        <v>4.6539603501575231</v>
      </c>
    </row>
  </sheetData>
  <autoFilter ref="A1:V4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Sherry Bui</cp:lastModifiedBy>
  <dcterms:created xsi:type="dcterms:W3CDTF">2015-06-05T18:17:20Z</dcterms:created>
  <dcterms:modified xsi:type="dcterms:W3CDTF">2026-02-11T16:07:14Z</dcterms:modified>
</cp:coreProperties>
</file>